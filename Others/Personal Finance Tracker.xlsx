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shboard" sheetId="1" state="visible" r:id="rId1"/>
    <sheet name="Transactions" sheetId="2" state="visible" r:id="rId2"/>
    <sheet name="Settings" sheetId="3" state="visible" r:id="rId3"/>
    <sheet name="README" sheetId="4" state="visible" r:id="rId4"/>
  </sheets>
  <definedNames>
    <definedName name="AccountList" hidden="0" function="0" vbProcedure="0">Settings!$F$7:$F$12</definedName>
    <definedName name="CategoryList" hidden="0" function="0" vbProcedure="0">Settings!$B$7:$B$21</definedName>
    <definedName name="PeriodList" hidden="0" function="0" vbProcedure="0">Settings!$H$7:$H$34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mm/dd/yyyy"/>
    <numFmt numFmtId="165" formatCode="\₱#,##0;[RED]&quot;(₱&quot;#,##0\);\—"/>
    <numFmt numFmtId="166" formatCode="0.0%;[RED]\-0.0%;\—"/>
    <numFmt numFmtId="167" formatCode="0%;[RED]\-0%;\—"/>
    <numFmt numFmtId="168" formatCode="mmm\ d&quot;, &quot;yyyy"/>
    <numFmt numFmtId="169" formatCode="\₱#,##0.00;[RED]&quot;(₱&quot;#,##0.00\)"/>
  </numFmts>
  <fonts count="4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7"/>
    </font>
    <font>
      <name val="Arial"/>
      <charset val="1"/>
      <family val="0"/>
      <color rgb="FFC7D2FE"/>
      <sz val="9"/>
    </font>
    <font>
      <name val="Arial"/>
      <charset val="1"/>
      <family val="0"/>
      <b val="1"/>
      <color rgb="FF312E81"/>
      <sz val="11"/>
    </font>
    <font>
      <name val="Arial"/>
      <charset val="1"/>
      <family val="0"/>
      <b val="1"/>
      <color rgb="FF7C3AED"/>
      <sz val="11"/>
    </font>
    <font>
      <name val="Arial"/>
      <charset val="1"/>
      <family val="0"/>
      <i val="1"/>
      <color rgb="FF475569"/>
      <sz val="9.5"/>
    </font>
    <font>
      <name val="Arial"/>
      <charset val="1"/>
      <family val="0"/>
      <b val="1"/>
      <color rgb="FF047857"/>
      <sz val="8.5"/>
    </font>
    <font>
      <name val="Arial"/>
      <charset val="1"/>
      <family val="0"/>
      <b val="1"/>
      <color rgb="FFBE123C"/>
      <sz val="8.5"/>
    </font>
    <font>
      <name val="Arial"/>
      <charset val="1"/>
      <family val="0"/>
      <b val="1"/>
      <color rgb="FF3730A3"/>
      <sz val="8.5"/>
    </font>
    <font>
      <name val="Arial"/>
      <charset val="1"/>
      <family val="0"/>
      <b val="1"/>
      <color rgb="FF6D28D9"/>
      <sz val="8.5"/>
    </font>
    <font>
      <name val="Arial"/>
      <charset val="1"/>
      <family val="0"/>
      <b val="1"/>
      <color rgb="FF047857"/>
      <sz val="19"/>
    </font>
    <font>
      <name val="Arial"/>
      <charset val="1"/>
      <family val="0"/>
      <b val="1"/>
      <color rgb="FFBE123C"/>
      <sz val="19"/>
    </font>
    <font>
      <name val="Arial"/>
      <charset val="1"/>
      <family val="0"/>
      <b val="1"/>
      <color rgb="FF3730A3"/>
      <sz val="19"/>
    </font>
    <font>
      <name val="Arial"/>
      <charset val="1"/>
      <family val="0"/>
      <b val="1"/>
      <color rgb="FF6D28D9"/>
      <sz val="19"/>
    </font>
    <font>
      <name val="Arial"/>
      <charset val="1"/>
      <family val="0"/>
      <i val="1"/>
      <color rgb="FF475569"/>
      <sz val="8"/>
    </font>
    <font>
      <name val="Arial"/>
      <charset val="1"/>
      <family val="0"/>
      <b val="1"/>
      <color rgb="FF312E81"/>
      <sz val="12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1F2937"/>
      <sz val="9.5"/>
    </font>
    <font>
      <name val="Arial"/>
      <charset val="1"/>
      <family val="0"/>
      <color rgb="FF1F2937"/>
      <sz val="9"/>
    </font>
    <font>
      <name val="Arial"/>
      <charset val="1"/>
      <family val="0"/>
      <b val="1"/>
      <color rgb="FF312E81"/>
      <sz val="10"/>
    </font>
    <font>
      <name val="Arial"/>
      <charset val="1"/>
      <family val="0"/>
      <i val="1"/>
      <color rgb="FF94A3B8"/>
      <sz val="8.5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rial"/>
      <charset val="1"/>
      <family val="0"/>
      <b val="1"/>
      <color rgb="FFFFFFFF"/>
      <sz val="10"/>
    </font>
    <font>
      <name val="Arial"/>
      <family val="2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475569"/>
      <sz val="8.5"/>
    </font>
    <font>
      <name val="Arial"/>
      <charset val="1"/>
      <family val="0"/>
      <b val="1"/>
      <color rgb="FFFFFFFF"/>
      <sz val="9.5"/>
    </font>
    <font>
      <name val="Arial"/>
      <charset val="1"/>
      <family val="0"/>
      <color rgb="FF1F2937"/>
      <sz val="10"/>
    </font>
    <font>
      <name val="Arial"/>
      <charset val="1"/>
      <family val="0"/>
      <color rgb="FF475569"/>
      <sz val="9"/>
    </font>
    <font>
      <name val="Arial"/>
      <charset val="1"/>
      <family val="0"/>
      <b val="1"/>
      <color rgb="FF1D4ED8"/>
      <sz val="10"/>
    </font>
    <font>
      <name val="Arial"/>
      <charset val="1"/>
      <family val="0"/>
      <color rgb="FF94A3B8"/>
      <sz val="9"/>
    </font>
    <font>
      <name val="Arial"/>
      <charset val="1"/>
      <family val="0"/>
      <color rgb="FF374151"/>
      <sz val="9.5"/>
    </font>
    <font>
      <name val="Arial"/>
      <charset val="1"/>
      <family val="0"/>
      <b val="1"/>
      <color rgb="FF312E81"/>
      <sz val="11.5"/>
    </font>
    <font>
      <name val="Arial"/>
      <charset val="1"/>
      <family val="0"/>
      <i val="1"/>
      <color rgb="FF7C3AED"/>
      <sz val="9.5"/>
    </font>
    <font>
      <b val="1"/>
      <color rgb="00595959"/>
    </font>
    <font>
      <b val="1"/>
      <color rgb="00000000"/>
    </font>
  </fonts>
  <fills count="12">
    <fill>
      <patternFill/>
    </fill>
    <fill>
      <patternFill patternType="gray125"/>
    </fill>
    <fill>
      <patternFill patternType="solid">
        <fgColor rgb="FF1E1B4B"/>
        <bgColor rgb="FF1F2937"/>
      </patternFill>
    </fill>
    <fill>
      <patternFill patternType="solid">
        <fgColor rgb="FFF5F3FF"/>
        <bgColor rgb="FFEEF2FF"/>
      </patternFill>
    </fill>
    <fill>
      <patternFill patternType="solid">
        <fgColor rgb="FFECFDF5"/>
        <bgColor rgb="FFF8FAFC"/>
      </patternFill>
    </fill>
    <fill>
      <patternFill patternType="solid">
        <fgColor rgb="FFFFF1F2"/>
        <bgColor rgb="FFF5F3FF"/>
      </patternFill>
    </fill>
    <fill>
      <patternFill patternType="solid">
        <fgColor rgb="FFEEF2FF"/>
        <bgColor rgb="FFF5F3FF"/>
      </patternFill>
    </fill>
    <fill>
      <patternFill patternType="solid">
        <fgColor rgb="FFEDE9FE"/>
        <bgColor rgb="FFEEF2FF"/>
      </patternFill>
    </fill>
    <fill>
      <patternFill patternType="solid">
        <fgColor rgb="FF312E81"/>
        <bgColor rgb="FF3730A3"/>
      </patternFill>
    </fill>
    <fill>
      <patternFill patternType="solid">
        <fgColor rgb="FFF8FAFC"/>
        <bgColor rgb="FFFFFFFF"/>
      </patternFill>
    </fill>
    <fill>
      <patternFill patternType="solid">
        <fgColor rgb="FFFEF9C3"/>
        <bgColor rgb="FFFFF1F2"/>
      </patternFill>
    </fill>
    <fill>
      <patternFill patternType="solid">
        <fgColor rgb="00FFF2CC"/>
        <bgColor rgb="00FFF2CC"/>
      </patternFill>
    </fill>
  </fills>
  <borders count="21">
    <border>
      <left/>
      <right/>
      <top/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/>
      <right/>
      <top/>
      <bottom style="medium">
        <color rgb="FF7C3AED"/>
      </bottom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 style="medium">
        <color rgb="FF7C3AED"/>
      </top>
      <bottom style="thin">
        <color rgb="FFE2E8F0"/>
      </bottom>
      <diagonal/>
    </border>
    <border>
      <left/>
      <right/>
      <top style="medium">
        <color rgb="FF7C3AED"/>
      </top>
      <bottom style="thin">
        <color rgb="FFE2E8F0"/>
      </bottom>
      <diagonal/>
    </border>
    <border>
      <left/>
      <right style="thin">
        <color rgb="FFE2E8F0"/>
      </right>
      <top style="medium">
        <color rgb="FF7C3AED"/>
      </top>
      <bottom style="thin">
        <color rgb="FFE2E8F0"/>
      </bottom>
      <diagonal/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/>
      <bottom/>
      <diagonal/>
    </border>
    <border>
      <left/>
      <right/>
      <top/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0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general" vertical="bottom"/>
    </xf>
    <xf numFmtId="0" fontId="9" fillId="4" borderId="2" applyAlignment="1" pivotButton="0" quotePrefix="0" xfId="0">
      <alignment horizontal="center" vertical="bottom"/>
    </xf>
    <xf numFmtId="0" fontId="10" fillId="5" borderId="2" applyAlignment="1" pivotButton="0" quotePrefix="0" xfId="0">
      <alignment horizontal="center" vertical="bottom"/>
    </xf>
    <xf numFmtId="0" fontId="11" fillId="6" borderId="2" applyAlignment="1" pivotButton="0" quotePrefix="0" xfId="0">
      <alignment horizontal="center" vertical="bottom"/>
    </xf>
    <xf numFmtId="0" fontId="12" fillId="7" borderId="2" applyAlignment="1" pivotButton="0" quotePrefix="0" xfId="0">
      <alignment horizontal="center" vertical="bottom"/>
    </xf>
    <xf numFmtId="165" fontId="13" fillId="4" borderId="3" applyAlignment="1" pivotButton="0" quotePrefix="0" xfId="0">
      <alignment horizontal="center" vertical="center"/>
    </xf>
    <xf numFmtId="165" fontId="14" fillId="5" borderId="3" applyAlignment="1" pivotButton="0" quotePrefix="0" xfId="0">
      <alignment horizontal="center" vertical="center"/>
    </xf>
    <xf numFmtId="165" fontId="15" fillId="6" borderId="3" applyAlignment="1" pivotButton="0" quotePrefix="0" xfId="0">
      <alignment horizontal="center" vertical="center"/>
    </xf>
    <xf numFmtId="166" fontId="16" fillId="7" borderId="3" applyAlignment="1" pivotButton="0" quotePrefix="0" xfId="0">
      <alignment horizontal="center" vertical="center"/>
    </xf>
    <xf numFmtId="0" fontId="17" fillId="4" borderId="4" applyAlignment="1" pivotButton="0" quotePrefix="0" xfId="0">
      <alignment horizontal="center" vertical="top"/>
    </xf>
    <xf numFmtId="0" fontId="17" fillId="5" borderId="4" applyAlignment="1" pivotButton="0" quotePrefix="0" xfId="0">
      <alignment horizontal="center" vertical="top"/>
    </xf>
    <xf numFmtId="0" fontId="17" fillId="6" borderId="4" applyAlignment="1" pivotButton="0" quotePrefix="0" xfId="0">
      <alignment horizontal="center" vertical="top"/>
    </xf>
    <xf numFmtId="0" fontId="17" fillId="7" borderId="4" applyAlignment="1" pivotButton="0" quotePrefix="0" xfId="0">
      <alignment horizontal="center" vertical="top"/>
    </xf>
    <xf numFmtId="0" fontId="18" fillId="0" borderId="5" applyAlignment="1" pivotButton="0" quotePrefix="0" xfId="0">
      <alignment horizontal="left" vertical="center"/>
    </xf>
    <xf numFmtId="0" fontId="19" fillId="8" borderId="6" applyAlignment="1" pivotButton="0" quotePrefix="0" xfId="0">
      <alignment horizontal="left" vertical="center"/>
    </xf>
    <xf numFmtId="0" fontId="19" fillId="8" borderId="7" applyAlignment="1" pivotButton="0" quotePrefix="0" xfId="0">
      <alignment horizontal="center" vertical="center"/>
    </xf>
    <xf numFmtId="0" fontId="19" fillId="8" borderId="8" applyAlignment="1" pivotButton="0" quotePrefix="0" xfId="0">
      <alignment horizontal="center" vertical="center"/>
    </xf>
    <xf numFmtId="0" fontId="20" fillId="9" borderId="9" applyAlignment="1" pivotButton="0" quotePrefix="0" xfId="0">
      <alignment horizontal="general" vertical="bottom"/>
    </xf>
    <xf numFmtId="165" fontId="20" fillId="9" borderId="10" applyAlignment="1" pivotButton="0" quotePrefix="0" xfId="0">
      <alignment horizontal="right" vertical="bottom"/>
    </xf>
    <xf numFmtId="167" fontId="20" fillId="9" borderId="10" applyAlignment="1" pivotButton="0" quotePrefix="0" xfId="0">
      <alignment horizontal="center" vertical="bottom"/>
    </xf>
    <xf numFmtId="0" fontId="21" fillId="9" borderId="11" applyAlignment="1" pivotButton="0" quotePrefix="0" xfId="0">
      <alignment horizontal="left" vertical="bottom" indent="1"/>
    </xf>
    <xf numFmtId="0" fontId="20" fillId="0" borderId="9" applyAlignment="1" pivotButton="0" quotePrefix="0" xfId="0">
      <alignment horizontal="general" vertical="bottom"/>
    </xf>
    <xf numFmtId="165" fontId="20" fillId="0" borderId="10" applyAlignment="1" pivotButton="0" quotePrefix="0" xfId="0">
      <alignment horizontal="right" vertical="bottom"/>
    </xf>
    <xf numFmtId="167" fontId="20" fillId="0" borderId="10" applyAlignment="1" pivotButton="0" quotePrefix="0" xfId="0">
      <alignment horizontal="center" vertical="bottom"/>
    </xf>
    <xf numFmtId="0" fontId="21" fillId="0" borderId="11" applyAlignment="1" pivotButton="0" quotePrefix="0" xfId="0">
      <alignment horizontal="left" vertical="bottom" indent="1"/>
    </xf>
    <xf numFmtId="0" fontId="22" fillId="3" borderId="12" applyAlignment="1" pivotButton="0" quotePrefix="0" xfId="0">
      <alignment horizontal="general" vertical="bottom"/>
    </xf>
    <xf numFmtId="165" fontId="22" fillId="3" borderId="13" applyAlignment="1" pivotButton="0" quotePrefix="0" xfId="0">
      <alignment horizontal="right" vertical="bottom"/>
    </xf>
    <xf numFmtId="167" fontId="22" fillId="3" borderId="13" applyAlignment="1" pivotButton="0" quotePrefix="0" xfId="0">
      <alignment horizontal="center" vertical="bottom"/>
    </xf>
    <xf numFmtId="0" fontId="22" fillId="3" borderId="14" applyAlignment="1" pivotButton="0" quotePrefix="0" xfId="0">
      <alignment horizontal="general" vertical="bottom"/>
    </xf>
    <xf numFmtId="0" fontId="20" fillId="0" borderId="9" applyAlignment="1" pivotButton="0" quotePrefix="0" xfId="0">
      <alignment horizontal="left" vertical="bottom"/>
    </xf>
    <xf numFmtId="165" fontId="20" fillId="0" borderId="11" applyAlignment="1" pivotButton="0" quotePrefix="0" xfId="0">
      <alignment horizontal="right" vertical="bottom"/>
    </xf>
    <xf numFmtId="0" fontId="20" fillId="9" borderId="9" applyAlignment="1" pivotButton="0" quotePrefix="0" xfId="0">
      <alignment horizontal="left" vertical="bottom"/>
    </xf>
    <xf numFmtId="165" fontId="20" fillId="9" borderId="11" applyAlignment="1" pivotButton="0" quotePrefix="0" xfId="0">
      <alignment horizontal="right" vertical="bottom"/>
    </xf>
    <xf numFmtId="0" fontId="23" fillId="0" borderId="0" applyAlignment="1" pivotButton="0" quotePrefix="0" xfId="0">
      <alignment horizontal="general" vertical="bottom"/>
    </xf>
    <xf numFmtId="0" fontId="26" fillId="8" borderId="5" applyAlignment="1" pivotButton="0" quotePrefix="0" xfId="0">
      <alignment horizontal="center" vertical="center"/>
    </xf>
    <xf numFmtId="168" fontId="20" fillId="0" borderId="10" applyAlignment="1" pivotButton="0" quotePrefix="0" xfId="0">
      <alignment horizontal="center" vertical="bottom"/>
    </xf>
    <xf numFmtId="0" fontId="20" fillId="0" borderId="10" applyAlignment="1" pivotButton="0" quotePrefix="0" xfId="0">
      <alignment horizontal="general" vertical="bottom"/>
    </xf>
    <xf numFmtId="0" fontId="20" fillId="0" borderId="10" applyAlignment="1" pivotButton="0" quotePrefix="0" xfId="0">
      <alignment horizontal="center" vertical="bottom"/>
    </xf>
    <xf numFmtId="169" fontId="20" fillId="0" borderId="10" applyAlignment="1" pivotButton="0" quotePrefix="0" xfId="0">
      <alignment horizontal="right" vertical="bottom"/>
    </xf>
    <xf numFmtId="0" fontId="28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8" borderId="6" applyAlignment="1" pivotButton="0" quotePrefix="0" xfId="0">
      <alignment horizontal="left" vertical="center"/>
    </xf>
    <xf numFmtId="0" fontId="30" fillId="8" borderId="7" applyAlignment="1" pivotButton="0" quotePrefix="0" xfId="0">
      <alignment horizontal="center" vertical="center"/>
    </xf>
    <xf numFmtId="0" fontId="30" fillId="8" borderId="8" applyAlignment="1" pivotButton="0" quotePrefix="0" xfId="0">
      <alignment horizontal="center" vertical="center"/>
    </xf>
    <xf numFmtId="0" fontId="30" fillId="8" borderId="2" applyAlignment="1" pivotButton="0" quotePrefix="0" xfId="0">
      <alignment horizontal="general" vertical="bottom"/>
    </xf>
    <xf numFmtId="0" fontId="31" fillId="0" borderId="15" applyAlignment="1" pivotButton="0" quotePrefix="0" xfId="0">
      <alignment horizontal="general" vertical="bottom"/>
    </xf>
    <xf numFmtId="0" fontId="32" fillId="0" borderId="0" applyAlignment="1" pivotButton="0" quotePrefix="0" xfId="0">
      <alignment horizontal="center" vertical="bottom"/>
    </xf>
    <xf numFmtId="165" fontId="33" fillId="10" borderId="16" applyAlignment="1" pivotButton="0" quotePrefix="0" xfId="0">
      <alignment horizontal="right" vertical="bottom"/>
    </xf>
    <xf numFmtId="0" fontId="31" fillId="0" borderId="3" applyAlignment="1" pivotButton="0" quotePrefix="0" xfId="0">
      <alignment horizontal="general" vertical="bottom"/>
    </xf>
    <xf numFmtId="0" fontId="32" fillId="0" borderId="15" applyAlignment="1" pivotButton="0" quotePrefix="0" xfId="0">
      <alignment horizontal="general" vertical="bottom"/>
    </xf>
    <xf numFmtId="164" fontId="34" fillId="0" borderId="0" applyAlignment="1" pivotButton="0" quotePrefix="0" xfId="0">
      <alignment horizontal="center" vertical="bottom"/>
    </xf>
    <xf numFmtId="0" fontId="34" fillId="0" borderId="16" applyAlignment="1" pivotButton="0" quotePrefix="0" xfId="0">
      <alignment horizontal="center" vertical="bottom"/>
    </xf>
    <xf numFmtId="0" fontId="31" fillId="9" borderId="15" applyAlignment="1" pivotButton="0" quotePrefix="0" xfId="0">
      <alignment horizontal="general" vertical="bottom"/>
    </xf>
    <xf numFmtId="0" fontId="32" fillId="9" borderId="0" applyAlignment="1" pivotButton="0" quotePrefix="0" xfId="0">
      <alignment horizontal="center" vertical="bottom"/>
    </xf>
    <xf numFmtId="0" fontId="31" fillId="9" borderId="3" applyAlignment="1" pivotButton="0" quotePrefix="0" xfId="0">
      <alignment horizontal="general" vertical="bottom"/>
    </xf>
    <xf numFmtId="0" fontId="32" fillId="9" borderId="15" applyAlignment="1" pivotButton="0" quotePrefix="0" xfId="0">
      <alignment horizontal="general" vertical="bottom"/>
    </xf>
    <xf numFmtId="164" fontId="34" fillId="9" borderId="0" applyAlignment="1" pivotButton="0" quotePrefix="0" xfId="0">
      <alignment horizontal="center" vertical="bottom"/>
    </xf>
    <xf numFmtId="0" fontId="34" fillId="9" borderId="16" applyAlignment="1" pivotButton="0" quotePrefix="0" xfId="0">
      <alignment horizontal="center" vertical="bottom"/>
    </xf>
    <xf numFmtId="0" fontId="31" fillId="9" borderId="4" applyAlignment="1" pivotButton="0" quotePrefix="0" xfId="0">
      <alignment horizontal="general" vertical="bottom"/>
    </xf>
    <xf numFmtId="0" fontId="31" fillId="0" borderId="9" applyAlignment="1" pivotButton="0" quotePrefix="0" xfId="0">
      <alignment horizontal="general" vertical="bottom"/>
    </xf>
    <xf numFmtId="0" fontId="32" fillId="0" borderId="10" applyAlignment="1" pivotButton="0" quotePrefix="0" xfId="0">
      <alignment horizontal="center" vertical="bottom"/>
    </xf>
    <xf numFmtId="165" fontId="33" fillId="10" borderId="11" applyAlignment="1" pivotButton="0" quotePrefix="0" xfId="0">
      <alignment horizontal="right" vertical="bottom"/>
    </xf>
    <xf numFmtId="0" fontId="32" fillId="9" borderId="9" applyAlignment="1" pivotButton="0" quotePrefix="0" xfId="0">
      <alignment horizontal="general" vertical="bottom"/>
    </xf>
    <xf numFmtId="164" fontId="34" fillId="9" borderId="10" applyAlignment="1" pivotButton="0" quotePrefix="0" xfId="0">
      <alignment horizontal="center" vertical="bottom"/>
    </xf>
    <xf numFmtId="0" fontId="34" fillId="9" borderId="11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center" wrapText="1"/>
    </xf>
    <xf numFmtId="0" fontId="36" fillId="0" borderId="17" applyAlignment="1" pivotButton="0" quotePrefix="0" xfId="0">
      <alignment horizontal="general" vertical="center" wrapText="1"/>
    </xf>
    <xf numFmtId="0" fontId="37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0" fillId="0" borderId="20" pivotButton="0" quotePrefix="0" xfId="0"/>
    <xf numFmtId="0" fontId="8" fillId="0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right"/>
    </xf>
    <xf numFmtId="10" fontId="39" fillId="11" borderId="0" pivotButton="0" quotePrefix="0" xfId="0"/>
    <xf numFmtId="164" fontId="0" fillId="0" borderId="0" applyAlignment="1" pivotButton="0" quotePrefix="0" xfId="0">
      <alignment horizontal="general" vertical="bottom"/>
    </xf>
    <xf numFmtId="0" fontId="9" fillId="4" borderId="2" applyAlignment="1" pivotButton="0" quotePrefix="0" xfId="0">
      <alignment horizontal="center" vertical="bottom"/>
    </xf>
    <xf numFmtId="0" fontId="0" fillId="0" borderId="8" pivotButton="0" quotePrefix="0" xfId="0"/>
    <xf numFmtId="0" fontId="10" fillId="5" borderId="2" applyAlignment="1" pivotButton="0" quotePrefix="0" xfId="0">
      <alignment horizontal="center" vertical="bottom"/>
    </xf>
    <xf numFmtId="0" fontId="11" fillId="6" borderId="2" applyAlignment="1" pivotButton="0" quotePrefix="0" xfId="0">
      <alignment horizontal="center" vertical="bottom"/>
    </xf>
    <xf numFmtId="0" fontId="12" fillId="7" borderId="2" applyAlignment="1" pivotButton="0" quotePrefix="0" xfId="0">
      <alignment horizontal="center" vertical="bottom"/>
    </xf>
    <xf numFmtId="165" fontId="13" fillId="4" borderId="3" applyAlignment="1" pivotButton="0" quotePrefix="0" xfId="0">
      <alignment horizontal="center" vertical="center"/>
    </xf>
    <xf numFmtId="0" fontId="0" fillId="0" borderId="16" pivotButton="0" quotePrefix="0" xfId="0"/>
    <xf numFmtId="165" fontId="14" fillId="5" borderId="3" applyAlignment="1" pivotButton="0" quotePrefix="0" xfId="0">
      <alignment horizontal="center" vertical="center"/>
    </xf>
    <xf numFmtId="165" fontId="15" fillId="6" borderId="3" applyAlignment="1" pivotButton="0" quotePrefix="0" xfId="0">
      <alignment horizontal="center" vertical="center"/>
    </xf>
    <xf numFmtId="166" fontId="16" fillId="7" borderId="3" applyAlignment="1" pivotButton="0" quotePrefix="0" xfId="0">
      <alignment horizontal="center" vertical="center"/>
    </xf>
    <xf numFmtId="0" fontId="17" fillId="4" borderId="4" applyAlignment="1" pivotButton="0" quotePrefix="0" xfId="0">
      <alignment horizontal="center" vertical="top"/>
    </xf>
    <xf numFmtId="0" fontId="0" fillId="0" borderId="11" pivotButton="0" quotePrefix="0" xfId="0"/>
    <xf numFmtId="0" fontId="17" fillId="5" borderId="4" applyAlignment="1" pivotButton="0" quotePrefix="0" xfId="0">
      <alignment horizontal="center" vertical="top"/>
    </xf>
    <xf numFmtId="0" fontId="17" fillId="6" borderId="4" applyAlignment="1" pivotButton="0" quotePrefix="0" xfId="0">
      <alignment horizontal="center" vertical="top"/>
    </xf>
    <xf numFmtId="0" fontId="17" fillId="7" borderId="4" applyAlignment="1" pivotButton="0" quotePrefix="0" xfId="0">
      <alignment horizontal="center" vertical="top"/>
    </xf>
    <xf numFmtId="0" fontId="18" fillId="0" borderId="5" applyAlignment="1" pivotButton="0" quotePrefix="0" xfId="0">
      <alignment horizontal="left" vertical="center"/>
    </xf>
    <xf numFmtId="0" fontId="0" fillId="0" borderId="5" pivotButton="0" quotePrefix="0" xfId="0"/>
    <xf numFmtId="0" fontId="19" fillId="8" borderId="6" applyAlignment="1" pivotButton="0" quotePrefix="0" xfId="0">
      <alignment horizontal="left" vertical="center"/>
    </xf>
    <xf numFmtId="0" fontId="19" fillId="8" borderId="7" applyAlignment="1" pivotButton="0" quotePrefix="0" xfId="0">
      <alignment horizontal="center" vertical="center"/>
    </xf>
    <xf numFmtId="0" fontId="19" fillId="8" borderId="8" applyAlignment="1" pivotButton="0" quotePrefix="0" xfId="0">
      <alignment horizontal="center" vertical="center"/>
    </xf>
    <xf numFmtId="0" fontId="20" fillId="9" borderId="9" applyAlignment="1" pivotButton="0" quotePrefix="0" xfId="0">
      <alignment horizontal="general" vertical="bottom"/>
    </xf>
    <xf numFmtId="165" fontId="20" fillId="9" borderId="10" applyAlignment="1" pivotButton="0" quotePrefix="0" xfId="0">
      <alignment horizontal="right" vertical="bottom"/>
    </xf>
    <xf numFmtId="167" fontId="20" fillId="9" borderId="10" applyAlignment="1" pivotButton="0" quotePrefix="0" xfId="0">
      <alignment horizontal="center" vertical="bottom"/>
    </xf>
    <xf numFmtId="0" fontId="21" fillId="9" borderId="11" applyAlignment="1" pivotButton="0" quotePrefix="0" xfId="0">
      <alignment horizontal="left" vertical="bottom" indent="1"/>
    </xf>
    <xf numFmtId="0" fontId="20" fillId="0" borderId="9" applyAlignment="1" pivotButton="0" quotePrefix="0" xfId="0">
      <alignment horizontal="general" vertical="bottom"/>
    </xf>
    <xf numFmtId="165" fontId="20" fillId="0" borderId="10" applyAlignment="1" pivotButton="0" quotePrefix="0" xfId="0">
      <alignment horizontal="right" vertical="bottom"/>
    </xf>
    <xf numFmtId="167" fontId="20" fillId="0" borderId="10" applyAlignment="1" pivotButton="0" quotePrefix="0" xfId="0">
      <alignment horizontal="center" vertical="bottom"/>
    </xf>
    <xf numFmtId="0" fontId="21" fillId="0" borderId="11" applyAlignment="1" pivotButton="0" quotePrefix="0" xfId="0">
      <alignment horizontal="left" vertical="bottom" indent="1"/>
    </xf>
    <xf numFmtId="0" fontId="22" fillId="3" borderId="12" applyAlignment="1" pivotButton="0" quotePrefix="0" xfId="0">
      <alignment horizontal="general" vertical="bottom"/>
    </xf>
    <xf numFmtId="165" fontId="22" fillId="3" borderId="13" applyAlignment="1" pivotButton="0" quotePrefix="0" xfId="0">
      <alignment horizontal="right" vertical="bottom"/>
    </xf>
    <xf numFmtId="167" fontId="22" fillId="3" borderId="13" applyAlignment="1" pivotButton="0" quotePrefix="0" xfId="0">
      <alignment horizontal="center" vertical="bottom"/>
    </xf>
    <xf numFmtId="0" fontId="22" fillId="3" borderId="14" applyAlignment="1" pivotButton="0" quotePrefix="0" xfId="0">
      <alignment horizontal="general" vertical="bottom"/>
    </xf>
    <xf numFmtId="0" fontId="20" fillId="0" borderId="9" applyAlignment="1" pivotButton="0" quotePrefix="0" xfId="0">
      <alignment horizontal="left" vertical="bottom"/>
    </xf>
    <xf numFmtId="165" fontId="20" fillId="0" borderId="11" applyAlignment="1" pivotButton="0" quotePrefix="0" xfId="0">
      <alignment horizontal="right" vertical="bottom"/>
    </xf>
    <xf numFmtId="0" fontId="20" fillId="9" borderId="9" applyAlignment="1" pivotButton="0" quotePrefix="0" xfId="0">
      <alignment horizontal="left" vertical="bottom"/>
    </xf>
    <xf numFmtId="165" fontId="20" fillId="9" borderId="11" applyAlignment="1" pivotButton="0" quotePrefix="0" xfId="0">
      <alignment horizontal="right" vertical="bottom"/>
    </xf>
    <xf numFmtId="0" fontId="23" fillId="0" borderId="0" applyAlignment="1" pivotButton="0" quotePrefix="0" xfId="0">
      <alignment horizontal="general" vertical="bottom"/>
    </xf>
    <xf numFmtId="0" fontId="26" fillId="8" borderId="5" applyAlignment="1" pivotButton="0" quotePrefix="0" xfId="0">
      <alignment horizontal="center" vertical="center"/>
    </xf>
    <xf numFmtId="168" fontId="20" fillId="0" borderId="10" applyAlignment="1" pivotButton="0" quotePrefix="0" xfId="0">
      <alignment horizontal="center" vertical="bottom"/>
    </xf>
    <xf numFmtId="0" fontId="20" fillId="0" borderId="10" applyAlignment="1" pivotButton="0" quotePrefix="0" xfId="0">
      <alignment horizontal="general" vertical="bottom"/>
    </xf>
    <xf numFmtId="0" fontId="20" fillId="0" borderId="10" applyAlignment="1" pivotButton="0" quotePrefix="0" xfId="0">
      <alignment horizontal="center" vertical="bottom"/>
    </xf>
    <xf numFmtId="169" fontId="20" fillId="0" borderId="10" applyAlignment="1" pivotButton="0" quotePrefix="0" xfId="0">
      <alignment horizontal="right" vertical="bottom"/>
    </xf>
    <xf numFmtId="0" fontId="28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8" borderId="6" applyAlignment="1" pivotButton="0" quotePrefix="0" xfId="0">
      <alignment horizontal="left" vertical="center"/>
    </xf>
    <xf numFmtId="0" fontId="30" fillId="8" borderId="7" applyAlignment="1" pivotButton="0" quotePrefix="0" xfId="0">
      <alignment horizontal="center" vertical="center"/>
    </xf>
    <xf numFmtId="0" fontId="30" fillId="8" borderId="8" applyAlignment="1" pivotButton="0" quotePrefix="0" xfId="0">
      <alignment horizontal="center" vertical="center"/>
    </xf>
    <xf numFmtId="0" fontId="30" fillId="8" borderId="2" applyAlignment="1" pivotButton="0" quotePrefix="0" xfId="0">
      <alignment horizontal="general" vertical="bottom"/>
    </xf>
    <xf numFmtId="0" fontId="31" fillId="0" borderId="15" applyAlignment="1" pivotButton="0" quotePrefix="0" xfId="0">
      <alignment horizontal="general" vertical="bottom"/>
    </xf>
    <xf numFmtId="0" fontId="32" fillId="0" borderId="0" applyAlignment="1" pivotButton="0" quotePrefix="0" xfId="0">
      <alignment horizontal="center" vertical="bottom"/>
    </xf>
    <xf numFmtId="165" fontId="33" fillId="10" borderId="16" applyAlignment="1" pivotButton="0" quotePrefix="0" xfId="0">
      <alignment horizontal="right" vertical="bottom"/>
    </xf>
    <xf numFmtId="0" fontId="31" fillId="0" borderId="3" applyAlignment="1" pivotButton="0" quotePrefix="0" xfId="0">
      <alignment horizontal="general" vertical="bottom"/>
    </xf>
    <xf numFmtId="0" fontId="32" fillId="0" borderId="15" applyAlignment="1" pivotButton="0" quotePrefix="0" xfId="0">
      <alignment horizontal="general" vertical="bottom"/>
    </xf>
    <xf numFmtId="164" fontId="34" fillId="0" borderId="0" applyAlignment="1" pivotButton="0" quotePrefix="0" xfId="0">
      <alignment horizontal="center" vertical="bottom"/>
    </xf>
    <xf numFmtId="0" fontId="34" fillId="0" borderId="16" applyAlignment="1" pivotButton="0" quotePrefix="0" xfId="0">
      <alignment horizontal="center" vertical="bottom"/>
    </xf>
    <xf numFmtId="0" fontId="31" fillId="9" borderId="15" applyAlignment="1" pivotButton="0" quotePrefix="0" xfId="0">
      <alignment horizontal="general" vertical="bottom"/>
    </xf>
    <xf numFmtId="0" fontId="32" fillId="9" borderId="0" applyAlignment="1" pivotButton="0" quotePrefix="0" xfId="0">
      <alignment horizontal="center" vertical="bottom"/>
    </xf>
    <xf numFmtId="0" fontId="31" fillId="9" borderId="3" applyAlignment="1" pivotButton="0" quotePrefix="0" xfId="0">
      <alignment horizontal="general" vertical="bottom"/>
    </xf>
    <xf numFmtId="0" fontId="32" fillId="9" borderId="15" applyAlignment="1" pivotButton="0" quotePrefix="0" xfId="0">
      <alignment horizontal="general" vertical="bottom"/>
    </xf>
    <xf numFmtId="164" fontId="34" fillId="9" borderId="0" applyAlignment="1" pivotButton="0" quotePrefix="0" xfId="0">
      <alignment horizontal="center" vertical="bottom"/>
    </xf>
    <xf numFmtId="0" fontId="34" fillId="9" borderId="16" applyAlignment="1" pivotButton="0" quotePrefix="0" xfId="0">
      <alignment horizontal="center" vertical="bottom"/>
    </xf>
    <xf numFmtId="0" fontId="31" fillId="9" borderId="4" applyAlignment="1" pivotButton="0" quotePrefix="0" xfId="0">
      <alignment horizontal="general" vertical="bottom"/>
    </xf>
    <xf numFmtId="0" fontId="31" fillId="0" borderId="9" applyAlignment="1" pivotButton="0" quotePrefix="0" xfId="0">
      <alignment horizontal="general" vertical="bottom"/>
    </xf>
    <xf numFmtId="0" fontId="32" fillId="0" borderId="10" applyAlignment="1" pivotButton="0" quotePrefix="0" xfId="0">
      <alignment horizontal="center" vertical="bottom"/>
    </xf>
    <xf numFmtId="165" fontId="33" fillId="10" borderId="11" applyAlignment="1" pivotButton="0" quotePrefix="0" xfId="0">
      <alignment horizontal="right" vertical="bottom"/>
    </xf>
    <xf numFmtId="0" fontId="32" fillId="9" borderId="9" applyAlignment="1" pivotButton="0" quotePrefix="0" xfId="0">
      <alignment horizontal="general" vertical="bottom"/>
    </xf>
    <xf numFmtId="164" fontId="34" fillId="9" borderId="10" applyAlignment="1" pivotButton="0" quotePrefix="0" xfId="0">
      <alignment horizontal="center" vertical="bottom"/>
    </xf>
    <xf numFmtId="0" fontId="34" fillId="9" borderId="11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center" wrapText="1"/>
    </xf>
    <xf numFmtId="0" fontId="36" fillId="0" borderId="17" applyAlignment="1" pivotButton="0" quotePrefix="0" xfId="0">
      <alignment horizontal="general" vertical="center" wrapText="1"/>
    </xf>
    <xf numFmtId="0" fontId="37" fillId="0" borderId="0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name val="Arial"/>
        <charset val="1"/>
        <family val="0"/>
        <b val="1"/>
        <color rgb="FFBE123C"/>
        <sz val="9"/>
      </font>
    </dxf>
    <dxf>
      <font>
        <name val="Arial"/>
        <charset val="1"/>
        <family val="0"/>
        <b val="1"/>
        <color rgb="FFB45309"/>
        <sz val="9"/>
      </font>
    </dxf>
    <dxf>
      <fill>
        <patternFill>
          <bgColor rgb="FFF8FAFC"/>
        </patternFill>
      </fill>
    </dxf>
    <dxf>
      <font>
        <name val="Arial"/>
        <charset val="1"/>
        <family val="0"/>
        <b val="1"/>
        <color rgb="FF047857"/>
        <sz val="9"/>
      </font>
    </dxf>
    <dxf>
      <font>
        <name val="Arial"/>
        <charset val="1"/>
        <family val="0"/>
        <color rgb="FF047857"/>
        <sz val="9"/>
      </font>
    </dxf>
  </dxfs>
  <colors>
    <indexedColors>
      <rgbColor rgb="FF000000"/>
      <rgbColor rgb="FFFFFFFF"/>
      <rgbColor rgb="FFE11D48"/>
      <rgbColor rgb="FF00FF00"/>
      <rgbColor rgb="FF0000FF"/>
      <rgbColor rgb="FFFFFF00"/>
      <rgbColor rgb="FFFF00FF"/>
      <rgbColor rgb="FF00FFFF"/>
      <rgbColor rgb="FF800000"/>
      <rgbColor rgb="FF008000"/>
      <rgbColor rgb="FF312E81"/>
      <rgbColor rgb="FF475569"/>
      <rgbColor rgb="FF6D28D9"/>
      <rgbColor rgb="FF047857"/>
      <rgbColor rgb="FFD9D9D9"/>
      <rgbColor rgb="FF878787"/>
      <rgbColor rgb="FF9999FF"/>
      <rgbColor rgb="FFBE123C"/>
      <rgbColor rgb="FFFEF9C3"/>
      <rgbColor rgb="FFECFDF5"/>
      <rgbColor rgb="FF660066"/>
      <rgbColor rgb="FFFF8080"/>
      <rgbColor rgb="FF1D4ED8"/>
      <rgbColor rgb="FFC7D2FE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EEF2FF"/>
      <rgbColor rgb="FFE2E8F0"/>
      <rgbColor rgb="FFFFF1F2"/>
      <rgbColor rgb="FFF5F3FF"/>
      <rgbColor rgb="FFF8FAFC"/>
      <rgbColor rgb="FFCC99FF"/>
      <rgbColor rgb="FFEDE9FE"/>
      <rgbColor rgb="FF6366F1"/>
      <rgbColor rgb="FF33CCCC"/>
      <rgbColor rgb="FF99CC00"/>
      <rgbColor rgb="FFFFCC00"/>
      <rgbColor rgb="FFFF9900"/>
      <rgbColor rgb="FFFF6600"/>
      <rgbColor rgb="FF64748B"/>
      <rgbColor rgb="FF94A3B8"/>
      <rgbColor rgb="FF1E1B4B"/>
      <rgbColor rgb="FF10B981"/>
      <rgbColor rgb="FF003300"/>
      <rgbColor rgb="FF374151"/>
      <rgbColor rgb="FFB45309"/>
      <rgbColor rgb="FF7C3AED"/>
      <rgbColor rgb="FF3730A3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Income vs Expenses vs Net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Dashboard!C26</f>
              <strCache>
                <ptCount val="1"/>
                <pt idx="0">
                  <v>Income</v>
                </pt>
              </strCache>
            </strRef>
          </tx>
          <spPr>
            <a:solidFill>
              <a:srgbClr val="059669"/>
            </a:solidFill>
            <a:ln w="25920">
              <a:solidFill>
                <a:srgbClr val="059669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rgbClr val="059669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Dashboard!$B$27:$B$38</f>
              <strCache>
                <ptCount val="12"/>
                <pt idx="0">
                  <v>Aug 25</v>
                </pt>
                <pt idx="1">
                  <v>Sep 25</v>
                </pt>
                <pt idx="2">
                  <v>Oct 25</v>
                </pt>
                <pt idx="3">
                  <v>Nov 25</v>
                </pt>
                <pt idx="4">
                  <v>Dec 25</v>
                </pt>
                <pt idx="5">
                  <v>Jan 26</v>
                </pt>
                <pt idx="6">
                  <v>Feb 26</v>
                </pt>
                <pt idx="7">
                  <v>Mar 26</v>
                </pt>
                <pt idx="8">
                  <v>Apr 26</v>
                </pt>
                <pt idx="9">
                  <v>May 26</v>
                </pt>
                <pt idx="10">
                  <v>Jun 26</v>
                </pt>
                <pt idx="11">
                  <v>Jul 26</v>
                </pt>
              </strCache>
            </strRef>
          </cat>
          <val>
            <numRef>
              <f>Dashboard!$C$27:$C$38</f>
              <numCache>
                <formatCode>\₱#,##0;[RED]"(₱"#,##0\);\—</formatCode>
                <ptCount val="12"/>
                <pt idx="0">
                  <v>72000</v>
                </pt>
                <pt idx="1">
                  <v>80000</v>
                </pt>
                <pt idx="2">
                  <v>78500</v>
                </pt>
                <pt idx="3">
                  <v>78000</v>
                </pt>
                <pt idx="4">
                  <v>81500</v>
                </pt>
                <pt idx="5">
                  <v>72000</v>
                </pt>
                <pt idx="6">
                  <v>72000</v>
                </pt>
                <pt idx="7">
                  <v>86500</v>
                </pt>
                <pt idx="8">
                  <v>72000</v>
                </pt>
                <pt idx="9">
                  <v>78500</v>
                </pt>
                <pt idx="10">
                  <v>82500</v>
                </pt>
                <pt idx="11">
                  <v>72000</v>
                </pt>
              </numCache>
            </numRef>
          </val>
          <smooth val="1"/>
        </ser>
        <ser>
          <idx val="1"/>
          <order val="1"/>
          <tx>
            <strRef>
              <f>Dashboard!D26</f>
              <strCache>
                <ptCount val="1"/>
                <pt idx="0">
                  <v>Expenses</v>
                </pt>
              </strCache>
            </strRef>
          </tx>
          <spPr>
            <a:solidFill>
              <a:srgbClr val="e11d48"/>
            </a:solidFill>
            <a:ln w="25920">
              <a:solidFill>
                <a:srgbClr val="e11d48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rgbClr val="e11d48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Dashboard!$B$27:$B$38</f>
              <strCache>
                <ptCount val="12"/>
                <pt idx="0">
                  <v>Aug 25</v>
                </pt>
                <pt idx="1">
                  <v>Sep 25</v>
                </pt>
                <pt idx="2">
                  <v>Oct 25</v>
                </pt>
                <pt idx="3">
                  <v>Nov 25</v>
                </pt>
                <pt idx="4">
                  <v>Dec 25</v>
                </pt>
                <pt idx="5">
                  <v>Jan 26</v>
                </pt>
                <pt idx="6">
                  <v>Feb 26</v>
                </pt>
                <pt idx="7">
                  <v>Mar 26</v>
                </pt>
                <pt idx="8">
                  <v>Apr 26</v>
                </pt>
                <pt idx="9">
                  <v>May 26</v>
                </pt>
                <pt idx="10">
                  <v>Jun 26</v>
                </pt>
                <pt idx="11">
                  <v>Jul 26</v>
                </pt>
              </strCache>
            </strRef>
          </cat>
          <val>
            <numRef>
              <f>Dashboard!$D$27:$D$38</f>
              <numCache>
                <formatCode>\₱#,##0;[RED]"(₱"#,##0\);\—</formatCode>
                <ptCount val="12"/>
                <pt idx="0">
                  <v>41483</v>
                </pt>
                <pt idx="1">
                  <v>37508</v>
                </pt>
                <pt idx="2">
                  <v>38983</v>
                </pt>
                <pt idx="3">
                  <v>39909</v>
                </pt>
                <pt idx="4">
                  <v>42300</v>
                </pt>
                <pt idx="5">
                  <v>41393</v>
                </pt>
                <pt idx="6">
                  <v>49505</v>
                </pt>
                <pt idx="7">
                  <v>45295</v>
                </pt>
                <pt idx="8">
                  <v>42187</v>
                </pt>
                <pt idx="9">
                  <v>40642</v>
                </pt>
                <pt idx="10">
                  <v>39789</v>
                </pt>
                <pt idx="11">
                  <v>28069</v>
                </pt>
              </numCache>
            </numRef>
          </val>
          <smooth val="1"/>
        </ser>
        <ser>
          <idx val="2"/>
          <order val="2"/>
          <tx>
            <strRef>
              <f>Dashboard!E26</f>
              <strCache>
                <ptCount val="1"/>
                <pt idx="0">
                  <v>Net</v>
                </pt>
              </strCache>
            </strRef>
          </tx>
          <spPr>
            <a:solidFill>
              <a:srgbClr val="7c3aed"/>
            </a:solidFill>
            <a:ln w="25920">
              <a:solidFill>
                <a:srgbClr val="7c3aed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rgbClr val="7c3aed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Dashboard!$B$27:$B$38</f>
              <strCache>
                <ptCount val="12"/>
                <pt idx="0">
                  <v>Aug 25</v>
                </pt>
                <pt idx="1">
                  <v>Sep 25</v>
                </pt>
                <pt idx="2">
                  <v>Oct 25</v>
                </pt>
                <pt idx="3">
                  <v>Nov 25</v>
                </pt>
                <pt idx="4">
                  <v>Dec 25</v>
                </pt>
                <pt idx="5">
                  <v>Jan 26</v>
                </pt>
                <pt idx="6">
                  <v>Feb 26</v>
                </pt>
                <pt idx="7">
                  <v>Mar 26</v>
                </pt>
                <pt idx="8">
                  <v>Apr 26</v>
                </pt>
                <pt idx="9">
                  <v>May 26</v>
                </pt>
                <pt idx="10">
                  <v>Jun 26</v>
                </pt>
                <pt idx="11">
                  <v>Jul 26</v>
                </pt>
              </strCache>
            </strRef>
          </cat>
          <val>
            <numRef>
              <f>Dashboard!$E$27:$E$38</f>
              <numCache>
                <formatCode>\₱#,##0;[RED]"(₱"#,##0\);\—</formatCode>
                <ptCount val="12"/>
                <pt idx="0">
                  <v>30517</v>
                </pt>
                <pt idx="1">
                  <v>42492</v>
                </pt>
                <pt idx="2">
                  <v>39517</v>
                </pt>
                <pt idx="3">
                  <v>38091</v>
                </pt>
                <pt idx="4">
                  <v>39200</v>
                </pt>
                <pt idx="5">
                  <v>30607</v>
                </pt>
                <pt idx="6">
                  <v>22495</v>
                </pt>
                <pt idx="7">
                  <v>41205</v>
                </pt>
                <pt idx="8">
                  <v>29813</v>
                </pt>
                <pt idx="9">
                  <v>37858</v>
                </pt>
                <pt idx="10">
                  <v>42711</v>
                </pt>
                <pt idx="11">
                  <v>43931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1"/>
        <axId val="26353929"/>
        <axId val="95723566"/>
      </lineChart>
      <catAx>
        <axId val="2635392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5723566"/>
        <crosses val="autoZero"/>
        <auto val="1"/>
        <lblAlgn val="ctr"/>
        <lblOffset val="100"/>
        <noMultiLvlLbl val="0"/>
      </catAx>
      <valAx>
        <axId val="95723566"/>
        <scaling>
          <orientation val="minMax"/>
        </scaling>
        <delete val="0"/>
        <axPos val="l"/>
        <numFmt formatCode="\₱#,##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6353929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bar"/>
        <grouping val="clustered"/>
        <varyColors val="0"/>
        <ser>
          <idx val="0"/>
          <order val="0"/>
          <tx>
            <strRef>
              <f>Dashboard!E11</f>
              <strCache>
                <ptCount val="1"/>
                <pt idx="0">
                  <v>Actual</v>
                </pt>
              </strCache>
            </strRef>
          </tx>
          <spPr>
            <a:solidFill>
              <a:srgbClr val="7c3aed"/>
            </a:solidFill>
            <a:ln w="0">
              <a:noFill/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Dashboard!$B$12:$B$22</f>
              <strCache>
                <ptCount val="11"/>
                <pt idx="0">
                  <v>Housing</v>
                </pt>
                <pt idx="1">
                  <v>Utilities</v>
                </pt>
                <pt idx="2">
                  <v>Groceries</v>
                </pt>
                <pt idx="3">
                  <v>Transportation</v>
                </pt>
                <pt idx="4">
                  <v>Dining Out</v>
                </pt>
                <pt idx="5">
                  <v>Health &amp; Fitness</v>
                </pt>
                <pt idx="6">
                  <v>Entertainment</v>
                </pt>
                <pt idx="7">
                  <v>Shopping</v>
                </pt>
                <pt idx="8">
                  <v>Subscriptions</v>
                </pt>
                <pt idx="9">
                  <v>Education</v>
                </pt>
                <pt idx="10">
                  <v>Miscellaneous</v>
                </pt>
              </strCache>
            </strRef>
          </cat>
          <val>
            <numRef>
              <f>Dashboard!$E$12:$E$22</f>
              <numCache>
                <formatCode>\₱#,##0;[RED]"(₱"#,##0\);\—</formatCode>
                <ptCount val="11"/>
                <pt idx="0">
                  <v>126000</v>
                </pt>
                <pt idx="1">
                  <v>36777</v>
                </pt>
                <pt idx="2">
                  <v>48508</v>
                </pt>
                <pt idx="3">
                  <v>10284</v>
                </pt>
                <pt idx="4">
                  <v>17572</v>
                </pt>
                <pt idx="5">
                  <v>13316</v>
                </pt>
                <pt idx="6">
                  <v>7139</v>
                </pt>
                <pt idx="7">
                  <v>19583</v>
                </pt>
                <pt idx="8">
                  <v>5894</v>
                </pt>
                <pt idx="9">
                  <v>704</v>
                </pt>
                <pt idx="10">
                  <v>1103</v>
                </pt>
              </numCache>
            </numRef>
          </val>
        </ser>
        <gapWidth val="55"/>
        <overlap val="0"/>
        <axId val="61632683"/>
        <axId val="45660941"/>
      </barChart>
      <catAx>
        <axId val="61632683"/>
        <scaling>
          <orientation val="minMax"/>
        </scaling>
        <delete val="0"/>
        <axPos val="b"/>
        <numFmt formatCode="\₱#,##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5660941"/>
        <crosses val="autoZero"/>
        <auto val="1"/>
        <lblAlgn val="ctr"/>
        <lblOffset val="100"/>
        <noMultiLvlLbl val="0"/>
      </catAx>
      <valAx>
        <axId val="45660941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\₱#,##0;[RED]&quot;(₱&quot;#,##0\);\—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1632683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Enter one row per transaction. Amounts are always positive — the Type column decides direction.</t>
      </text>
    </comment>
    <comment ref="C1" authorId="0" shapeId="0">
      <text>
        <t>Pick from the dropdown. Manage the list in Settings.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6</col>
      <colOff>0</colOff>
      <row>25</row>
      <rowOff>0</rowOff>
    </from>
    <to>
      <col>11</col>
      <colOff>452160</colOff>
      <row>40</row>
      <rowOff>8280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</col>
      <colOff>0</colOff>
      <row>40</row>
      <rowOff>0</rowOff>
    </from>
    <to>
      <col>7</col>
      <colOff>150840</colOff>
      <row>58</row>
      <rowOff>98640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tabColor rgb="FF7C3AED"/>
    <outlinePr summaryBelow="1" summaryRight="1"/>
    <pageSetUpPr fitToPage="0"/>
  </sheetPr>
  <dimension ref="A1:N6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5" customWidth="1" style="76" min="1" max="1"/>
    <col width="17" customWidth="1" style="76" min="2" max="2"/>
    <col width="12.5" customWidth="1" style="76" min="3" max="6"/>
    <col width="10" customWidth="1" style="76" min="7" max="7"/>
    <col width="15" customWidth="1" style="76" min="8" max="8"/>
    <col width="12" customWidth="1" style="76" min="9" max="12"/>
    <col width="2.5" customWidth="1" style="76" min="13" max="13"/>
    <col hidden="1" width="12" customWidth="1" style="76" min="14" max="14"/>
  </cols>
  <sheetData>
    <row r="1" ht="27.75" customHeight="1" s="77">
      <c r="A1" s="78" t="n"/>
      <c r="B1" s="79" t="inlineStr">
        <is>
          <t>💰  PERSONAL FINANCE DASHBOARD</t>
        </is>
      </c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</row>
    <row r="2" ht="15.75" customHeight="1" s="77">
      <c r="A2" s="78" t="n"/>
      <c r="B2" s="80" t="inlineStr">
        <is>
          <t>Everything below updates automatically from the Transactions sheet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</row>
    <row r="3" ht="7.5" customHeight="1" s="77"/>
    <row r="4" ht="24" customHeight="1" s="77">
      <c r="B4" s="81" t="inlineStr">
        <is>
          <t>Period:</t>
        </is>
      </c>
      <c r="C4" s="82" t="inlineStr">
        <is>
          <t>YTD (This Year)</t>
        </is>
      </c>
      <c r="D4" s="83" t="n"/>
      <c r="F4" s="84">
        <f>TEXT($N$4,"mmm d, yyyy")&amp;"  —  "&amp;TEXT($N$5,"mmm d, yyyy")</f>
        <v/>
      </c>
      <c r="K4" s="85" t="inlineStr">
        <is>
          <t>Annual Interest:</t>
        </is>
      </c>
      <c r="L4" s="86" t="n">
        <v>0.05</v>
      </c>
      <c r="N4" s="87">
        <f>IFERROR(INDEX(Settings!$I$7:$I$34,MATCH($C$4,Settings!$H$7:$H$34,0)),DATE(YEAR(TODAY()),1,1))</f>
        <v/>
      </c>
    </row>
    <row r="5" ht="9.75" customHeight="1" s="77">
      <c r="N5" s="87">
        <f>IFERROR(INDEX(Settings!$J$7:$J$34,MATCH($C$4,Settings!$H$7:$H$34,0)),EOMONTH(TODAY(),0))</f>
        <v/>
      </c>
    </row>
    <row r="6" ht="15.75" customHeight="1" s="77">
      <c r="B6" s="88" t="inlineStr">
        <is>
          <t>💵  INCOME</t>
        </is>
      </c>
      <c r="C6" s="89" t="n"/>
      <c r="E6" s="90" t="inlineStr">
        <is>
          <t>💸  EXPENSES</t>
        </is>
      </c>
      <c r="F6" s="89" t="n"/>
      <c r="H6" s="91" t="inlineStr">
        <is>
          <t>🏦  NET SAVINGS (w/ Int)</t>
        </is>
      </c>
      <c r="I6" s="89" t="n"/>
      <c r="K6" s="92" t="inlineStr">
        <is>
          <t>📈  SAVINGS RATE</t>
        </is>
      </c>
      <c r="L6" s="89" t="n"/>
      <c r="N6" s="76">
        <f>IFERROR(INDEX(Settings!$K$7:$K$34,MATCH($C$4,Settings!$H$7:$H$34,0)),MONTH(TODAY()))</f>
        <v/>
      </c>
    </row>
    <row r="7" ht="30" customHeight="1" s="77">
      <c r="B7" s="93">
        <f>SUMIFS(Transactions!$E:$E,Transactions!$D:$D,"Income",Transactions!$A:$A,"&gt;="&amp;$N$4,Transactions!$A:$A,"&lt;="&amp;$N$5)</f>
        <v/>
      </c>
      <c r="C7" s="94" t="n"/>
      <c r="E7" s="95">
        <f>SUMIFS(Transactions!$E:$E,Transactions!$D:$D,"Expense",Transactions!$A:$A,"&gt;="&amp;$N$4,Transactions!$A:$A,"&lt;="&amp;$N$5)</f>
        <v/>
      </c>
      <c r="F7" s="94" t="n"/>
      <c r="H7" s="96">
        <f>($B$7-$E$7) * (1 + ($L$4 / 12) * $N$6)</f>
        <v/>
      </c>
      <c r="I7" s="94" t="n"/>
      <c r="K7" s="97">
        <f>IFERROR(($B$7-$E$7)/$B$7,0)</f>
        <v/>
      </c>
      <c r="L7" s="94" t="n"/>
    </row>
    <row r="8" ht="13.5" customHeight="1" s="77">
      <c r="B8" s="98">
        <f>"₱"&amp;TEXT(IFERROR($B$7/$N$6,0),"#,##0")&amp;" avg / month"</f>
        <v/>
      </c>
      <c r="C8" s="99" t="n"/>
      <c r="E8" s="100">
        <f>"₱"&amp;TEXT(IFERROR($E$7/$N$6,0),"#,##0")&amp;" avg / month"</f>
        <v/>
      </c>
      <c r="F8" s="99" t="n"/>
      <c r="H8" s="101">
        <f>"₱"&amp;TEXT(IFERROR($H$7/$N$6,0),"#,##0")&amp;" avg / month"</f>
        <v/>
      </c>
      <c r="I8" s="99" t="n"/>
      <c r="K8" s="102">
        <f>"of ₱"&amp;TEXT($B$7,"#,##0")&amp;" earned"</f>
        <v/>
      </c>
      <c r="L8" s="99" t="n"/>
    </row>
    <row r="9" ht="12" customHeight="1" s="77"/>
    <row r="10" ht="21.75" customHeight="1" s="77">
      <c r="B10" s="103" t="inlineStr">
        <is>
          <t>🎯  Budget vs Actual</t>
        </is>
      </c>
      <c r="C10" s="104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</row>
    <row r="11" ht="19.5" customHeight="1" s="77">
      <c r="B11" s="105" t="inlineStr">
        <is>
          <t>Category</t>
        </is>
      </c>
      <c r="C11" s="106" t="inlineStr">
        <is>
          <t>Monthly Budget</t>
        </is>
      </c>
      <c r="D11" s="106" t="inlineStr">
        <is>
          <t>Period Budget</t>
        </is>
      </c>
      <c r="E11" s="106" t="inlineStr">
        <is>
          <t>Actual</t>
        </is>
      </c>
      <c r="F11" s="106" t="inlineStr">
        <is>
          <t>Remaining</t>
        </is>
      </c>
      <c r="G11" s="106" t="inlineStr">
        <is>
          <t>% Used</t>
        </is>
      </c>
      <c r="H11" s="107" t="inlineStr">
        <is>
          <t>Status</t>
        </is>
      </c>
    </row>
    <row r="12" ht="15" customHeight="1" s="77">
      <c r="B12" s="108">
        <f>Settings!$B$11</f>
        <v/>
      </c>
      <c r="C12" s="109">
        <f>IFERROR(Settings!$D$11,0)</f>
        <v/>
      </c>
      <c r="D12" s="109">
        <f>$C12*$N$6</f>
        <v/>
      </c>
      <c r="E12" s="109">
        <f>SUMIFS(Transactions!$E:$E,Transactions!$C:$C,$B12,Transactions!$D:$D,"Expense",Transactions!$A:$A,"&gt;="&amp;$N$4,Transactions!$A:$A,"&lt;="&amp;$N$5)</f>
        <v/>
      </c>
      <c r="F12" s="109">
        <f>$D12-$E12</f>
        <v/>
      </c>
      <c r="G12" s="110">
        <f>IFERROR($E12/$D12,0)</f>
        <v/>
      </c>
      <c r="H12" s="111">
        <f>IF($G12&gt;1,"🔴 Over budget",IF($G12&gt;=0.85,"🟡 Getting close","🟢 On track"))</f>
        <v/>
      </c>
    </row>
    <row r="13" ht="15" customHeight="1" s="77">
      <c r="B13" s="112">
        <f>Settings!$B$12</f>
        <v/>
      </c>
      <c r="C13" s="113">
        <f>IFERROR(Settings!$D$12,0)</f>
        <v/>
      </c>
      <c r="D13" s="113">
        <f>$C13*$N$6</f>
        <v/>
      </c>
      <c r="E13" s="113">
        <f>SUMIFS(Transactions!$E:$E,Transactions!$C:$C,$B13,Transactions!$D:$D,"Expense",Transactions!$A:$A,"&gt;="&amp;$N$4,Transactions!$A:$A,"&lt;="&amp;$N$5)</f>
        <v/>
      </c>
      <c r="F13" s="113">
        <f>$D13-$E13</f>
        <v/>
      </c>
      <c r="G13" s="114">
        <f>IFERROR($E13/$D13,0)</f>
        <v/>
      </c>
      <c r="H13" s="115">
        <f>IF($G13&gt;1,"🔴 Over budget",IF($G13&gt;=0.85,"🟡 Getting close","🟢 On track"))</f>
        <v/>
      </c>
    </row>
    <row r="14" ht="15" customHeight="1" s="77">
      <c r="B14" s="108">
        <f>Settings!$B$13</f>
        <v/>
      </c>
      <c r="C14" s="109">
        <f>IFERROR(Settings!$D$13,0)</f>
        <v/>
      </c>
      <c r="D14" s="109">
        <f>$C14*$N$6</f>
        <v/>
      </c>
      <c r="E14" s="109">
        <f>SUMIFS(Transactions!$E:$E,Transactions!$C:$C,$B14,Transactions!$D:$D,"Expense",Transactions!$A:$A,"&gt;="&amp;$N$4,Transactions!$A:$A,"&lt;="&amp;$N$5)</f>
        <v/>
      </c>
      <c r="F14" s="109">
        <f>$D14-$E14</f>
        <v/>
      </c>
      <c r="G14" s="110">
        <f>IFERROR($E14/$D14,0)</f>
        <v/>
      </c>
      <c r="H14" s="111">
        <f>IF($G14&gt;1,"🔴 Over budget",IF($G14&gt;=0.85,"🟡 Getting close","🟢 On track"))</f>
        <v/>
      </c>
    </row>
    <row r="15" ht="15" customHeight="1" s="77">
      <c r="B15" s="112">
        <f>Settings!$B$14</f>
        <v/>
      </c>
      <c r="C15" s="113">
        <f>IFERROR(Settings!$D$14,0)</f>
        <v/>
      </c>
      <c r="D15" s="113">
        <f>$C15*$N$6</f>
        <v/>
      </c>
      <c r="E15" s="113">
        <f>SUMIFS(Transactions!$E:$E,Transactions!$C:$C,$B15,Transactions!$D:$D,"Expense",Transactions!$A:$A,"&gt;="&amp;$N$4,Transactions!$A:$A,"&lt;="&amp;$N$5)</f>
        <v/>
      </c>
      <c r="F15" s="113">
        <f>$D15-$E15</f>
        <v/>
      </c>
      <c r="G15" s="114">
        <f>IFERROR($E15/$D15,0)</f>
        <v/>
      </c>
      <c r="H15" s="115">
        <f>IF($G15&gt;1,"🔴 Over budget",IF($G15&gt;=0.85,"🟡 Getting close","🟢 On track"))</f>
        <v/>
      </c>
    </row>
    <row r="16" ht="15" customHeight="1" s="77">
      <c r="B16" s="108">
        <f>Settings!$B$15</f>
        <v/>
      </c>
      <c r="C16" s="109">
        <f>IFERROR(Settings!$D$15,0)</f>
        <v/>
      </c>
      <c r="D16" s="109">
        <f>$C16*$N$6</f>
        <v/>
      </c>
      <c r="E16" s="109">
        <f>SUMIFS(Transactions!$E:$E,Transactions!$C:$C,$B16,Transactions!$D:$D,"Expense",Transactions!$A:$A,"&gt;="&amp;$N$4,Transactions!$A:$A,"&lt;="&amp;$N$5)</f>
        <v/>
      </c>
      <c r="F16" s="109">
        <f>$D16-$E16</f>
        <v/>
      </c>
      <c r="G16" s="110">
        <f>IFERROR($E16/$D16,0)</f>
        <v/>
      </c>
      <c r="H16" s="111">
        <f>IF($G16&gt;1,"🔴 Over budget",IF($G16&gt;=0.85,"🟡 Getting close","🟢 On track"))</f>
        <v/>
      </c>
    </row>
    <row r="17" ht="15" customHeight="1" s="77">
      <c r="B17" s="112">
        <f>Settings!$B$16</f>
        <v/>
      </c>
      <c r="C17" s="113">
        <f>IFERROR(Settings!$D$16,0)</f>
        <v/>
      </c>
      <c r="D17" s="113">
        <f>$C17*$N$6</f>
        <v/>
      </c>
      <c r="E17" s="113">
        <f>SUMIFS(Transactions!$E:$E,Transactions!$C:$C,$B17,Transactions!$D:$D,"Expense",Transactions!$A:$A,"&gt;="&amp;$N$4,Transactions!$A:$A,"&lt;="&amp;$N$5)</f>
        <v/>
      </c>
      <c r="F17" s="113">
        <f>$D17-$E17</f>
        <v/>
      </c>
      <c r="G17" s="114">
        <f>IFERROR($E17/$D17,0)</f>
        <v/>
      </c>
      <c r="H17" s="115">
        <f>IF($G17&gt;1,"🔴 Over budget",IF($G17&gt;=0.85,"🟡 Getting close","🟢 On track"))</f>
        <v/>
      </c>
    </row>
    <row r="18" ht="15" customHeight="1" s="77">
      <c r="B18" s="108">
        <f>Settings!$B$17</f>
        <v/>
      </c>
      <c r="C18" s="109">
        <f>IFERROR(Settings!$D$17,0)</f>
        <v/>
      </c>
      <c r="D18" s="109">
        <f>$C18*$N$6</f>
        <v/>
      </c>
      <c r="E18" s="109">
        <f>SUMIFS(Transactions!$E:$E,Transactions!$C:$C,$B18,Transactions!$D:$D,"Expense",Transactions!$A:$A,"&gt;="&amp;$N$4,Transactions!$A:$A,"&lt;="&amp;$N$5)</f>
        <v/>
      </c>
      <c r="F18" s="109">
        <f>$D18-$E18</f>
        <v/>
      </c>
      <c r="G18" s="110">
        <f>IFERROR($E18/$D18,0)</f>
        <v/>
      </c>
      <c r="H18" s="111">
        <f>IF($G18&gt;1,"🔴 Over budget",IF($G18&gt;=0.85,"🟡 Getting close","🟢 On track"))</f>
        <v/>
      </c>
    </row>
    <row r="19" ht="15" customHeight="1" s="77">
      <c r="B19" s="112">
        <f>Settings!$B$18</f>
        <v/>
      </c>
      <c r="C19" s="113">
        <f>IFERROR(Settings!$D$18,0)</f>
        <v/>
      </c>
      <c r="D19" s="113">
        <f>$C19*$N$6</f>
        <v/>
      </c>
      <c r="E19" s="113">
        <f>SUMIFS(Transactions!$E:$E,Transactions!$C:$C,$B19,Transactions!$D:$D,"Expense",Transactions!$A:$A,"&gt;="&amp;$N$4,Transactions!$A:$A,"&lt;="&amp;$N$5)</f>
        <v/>
      </c>
      <c r="F19" s="113">
        <f>$D19-$E19</f>
        <v/>
      </c>
      <c r="G19" s="114">
        <f>IFERROR($E19/$D19,0)</f>
        <v/>
      </c>
      <c r="H19" s="115">
        <f>IF($G19&gt;1,"🔴 Over budget",IF($G19&gt;=0.85,"🟡 Getting close","🟢 On track"))</f>
        <v/>
      </c>
    </row>
    <row r="20" ht="15" customHeight="1" s="77">
      <c r="B20" s="108">
        <f>Settings!$B$19</f>
        <v/>
      </c>
      <c r="C20" s="109">
        <f>IFERROR(Settings!$D$19,0)</f>
        <v/>
      </c>
      <c r="D20" s="109">
        <f>$C20*$N$6</f>
        <v/>
      </c>
      <c r="E20" s="109">
        <f>SUMIFS(Transactions!$E:$E,Transactions!$C:$C,$B20,Transactions!$D:$D,"Expense",Transactions!$A:$A,"&gt;="&amp;$N$4,Transactions!$A:$A,"&lt;="&amp;$N$5)</f>
        <v/>
      </c>
      <c r="F20" s="109">
        <f>$D20-$E20</f>
        <v/>
      </c>
      <c r="G20" s="110">
        <f>IFERROR($E20/$D20,0)</f>
        <v/>
      </c>
      <c r="H20" s="111">
        <f>IF($G20&gt;1,"🔴 Over budget",IF($G20&gt;=0.85,"🟡 Getting close","🟢 On track"))</f>
        <v/>
      </c>
    </row>
    <row r="21" ht="15" customHeight="1" s="77">
      <c r="B21" s="112">
        <f>Settings!$B$20</f>
        <v/>
      </c>
      <c r="C21" s="113">
        <f>IFERROR(Settings!$D$20,0)</f>
        <v/>
      </c>
      <c r="D21" s="113">
        <f>$C21*$N$6</f>
        <v/>
      </c>
      <c r="E21" s="113">
        <f>SUMIFS(Transactions!$E:$E,Transactions!$C:$C,$B21,Transactions!$D:$D,"Expense",Transactions!$A:$A,"&gt;="&amp;$N$4,Transactions!$A:$A,"&lt;="&amp;$N$5)</f>
        <v/>
      </c>
      <c r="F21" s="113">
        <f>$D21-$E21</f>
        <v/>
      </c>
      <c r="G21" s="114">
        <f>IFERROR($E21/$D21,0)</f>
        <v/>
      </c>
      <c r="H21" s="115">
        <f>IF($G21&gt;1,"🔴 Over budget",IF($G21&gt;=0.85,"🟡 Getting close","🟢 On track"))</f>
        <v/>
      </c>
    </row>
    <row r="22" ht="15" customHeight="1" s="77">
      <c r="B22" s="108">
        <f>Settings!$B$21</f>
        <v/>
      </c>
      <c r="C22" s="109">
        <f>IFERROR(Settings!$D$21,0)</f>
        <v/>
      </c>
      <c r="D22" s="109">
        <f>$C22*$N$6</f>
        <v/>
      </c>
      <c r="E22" s="109">
        <f>SUMIFS(Transactions!$E:$E,Transactions!$C:$C,$B22,Transactions!$D:$D,"Expense",Transactions!$A:$A,"&gt;="&amp;$N$4,Transactions!$A:$A,"&lt;="&amp;$N$5)</f>
        <v/>
      </c>
      <c r="F22" s="109">
        <f>$D22-$E22</f>
        <v/>
      </c>
      <c r="G22" s="110">
        <f>IFERROR($E22/$D22,0)</f>
        <v/>
      </c>
      <c r="H22" s="111">
        <f>IF($G22&gt;1,"🔴 Over budget",IF($G22&gt;=0.85,"🟡 Getting close","🟢 On track"))</f>
        <v/>
      </c>
    </row>
    <row r="23" ht="15" customHeight="1" s="77">
      <c r="B23" s="116" t="inlineStr">
        <is>
          <t>TOTAL</t>
        </is>
      </c>
      <c r="C23" s="117">
        <f>SUM(C12:C22)</f>
        <v/>
      </c>
      <c r="D23" s="117">
        <f>SUM(D12:D22)</f>
        <v/>
      </c>
      <c r="E23" s="117">
        <f>SUM(E12:E22)</f>
        <v/>
      </c>
      <c r="F23" s="117">
        <f>$D23-$E23</f>
        <v/>
      </c>
      <c r="G23" s="118">
        <f>IFERROR($E23/$D23,0)</f>
        <v/>
      </c>
      <c r="H23" s="119" t="n"/>
    </row>
    <row r="24" ht="13.5" customHeight="1" s="77"/>
    <row r="25" ht="21.75" customHeight="1" s="77">
      <c r="B25" s="103" t="inlineStr">
        <is>
          <t>📈  Cash Flow — Last 12 Months</t>
        </is>
      </c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</row>
    <row r="26" ht="15" customHeight="1" s="77">
      <c r="B26" s="105" t="inlineStr">
        <is>
          <t>Month</t>
        </is>
      </c>
      <c r="C26" s="106" t="inlineStr">
        <is>
          <t>Income</t>
        </is>
      </c>
      <c r="D26" s="106" t="inlineStr">
        <is>
          <t>Expenses</t>
        </is>
      </c>
      <c r="E26" s="107" t="inlineStr">
        <is>
          <t>Net</t>
        </is>
      </c>
    </row>
    <row r="27" ht="15" customHeight="1" s="77">
      <c r="B27" s="120">
        <f>TEXT(EOMONTH(TODAY(),-11),"mmm yy")</f>
        <v/>
      </c>
      <c r="C27" s="113">
        <f>SUMIFS(Transactions!$E:$E,Transactions!$D:$D,"Income",Transactions!$A:$A,"&gt;="&amp;(EOMONTH(TODAY(),-12)+1),Transactions!$A:$A,"&lt;="&amp;EOMONTH(TODAY(),-11))</f>
        <v/>
      </c>
      <c r="D27" s="113">
        <f>SUMIFS(Transactions!$E:$E,Transactions!$D:$D,"Expense",Transactions!$A:$A,"&gt;="&amp;(EOMONTH(TODAY(),-12)+1),Transactions!$A:$A,"&lt;="&amp;EOMONTH(TODAY(),-11))</f>
        <v/>
      </c>
      <c r="E27" s="121">
        <f>$C27-$D27</f>
        <v/>
      </c>
    </row>
    <row r="28" ht="15" customHeight="1" s="77">
      <c r="B28" s="122">
        <f>TEXT(EOMONTH(TODAY(),-10),"mmm yy")</f>
        <v/>
      </c>
      <c r="C28" s="109">
        <f>SUMIFS(Transactions!$E:$E,Transactions!$D:$D,"Income",Transactions!$A:$A,"&gt;="&amp;(EOMONTH(TODAY(),-11)+1),Transactions!$A:$A,"&lt;="&amp;EOMONTH(TODAY(),-10))</f>
        <v/>
      </c>
      <c r="D28" s="109">
        <f>SUMIFS(Transactions!$E:$E,Transactions!$D:$D,"Expense",Transactions!$A:$A,"&gt;="&amp;(EOMONTH(TODAY(),-11)+1),Transactions!$A:$A,"&lt;="&amp;EOMONTH(TODAY(),-10))</f>
        <v/>
      </c>
      <c r="E28" s="123">
        <f>$C28-$D28</f>
        <v/>
      </c>
    </row>
    <row r="29" ht="15" customHeight="1" s="77">
      <c r="B29" s="120">
        <f>TEXT(EOMONTH(TODAY(),-9),"mmm yy")</f>
        <v/>
      </c>
      <c r="C29" s="113">
        <f>SUMIFS(Transactions!$E:$E,Transactions!$D:$D,"Income",Transactions!$A:$A,"&gt;="&amp;(EOMONTH(TODAY(),-10)+1),Transactions!$A:$A,"&lt;="&amp;EOMONTH(TODAY(),-9))</f>
        <v/>
      </c>
      <c r="D29" s="113">
        <f>SUMIFS(Transactions!$E:$E,Transactions!$D:$D,"Expense",Transactions!$A:$A,"&gt;="&amp;(EOMONTH(TODAY(),-10)+1),Transactions!$A:$A,"&lt;="&amp;EOMONTH(TODAY(),-9))</f>
        <v/>
      </c>
      <c r="E29" s="121">
        <f>$C29-$D29</f>
        <v/>
      </c>
    </row>
    <row r="30" ht="15" customHeight="1" s="77">
      <c r="B30" s="122">
        <f>TEXT(EOMONTH(TODAY(),-8),"mmm yy")</f>
        <v/>
      </c>
      <c r="C30" s="109">
        <f>SUMIFS(Transactions!$E:$E,Transactions!$D:$D,"Income",Transactions!$A:$A,"&gt;="&amp;(EOMONTH(TODAY(),-9)+1),Transactions!$A:$A,"&lt;="&amp;EOMONTH(TODAY(),-8))</f>
        <v/>
      </c>
      <c r="D30" s="109">
        <f>SUMIFS(Transactions!$E:$E,Transactions!$D:$D,"Expense",Transactions!$A:$A,"&gt;="&amp;(EOMONTH(TODAY(),-9)+1),Transactions!$A:$A,"&lt;="&amp;EOMONTH(TODAY(),-8))</f>
        <v/>
      </c>
      <c r="E30" s="123">
        <f>$C30-$D30</f>
        <v/>
      </c>
    </row>
    <row r="31" ht="15" customHeight="1" s="77">
      <c r="B31" s="120">
        <f>TEXT(EOMONTH(TODAY(),-7),"mmm yy")</f>
        <v/>
      </c>
      <c r="C31" s="113">
        <f>SUMIFS(Transactions!$E:$E,Transactions!$D:$D,"Income",Transactions!$A:$A,"&gt;="&amp;(EOMONTH(TODAY(),-8)+1),Transactions!$A:$A,"&lt;="&amp;EOMONTH(TODAY(),-7))</f>
        <v/>
      </c>
      <c r="D31" s="113">
        <f>SUMIFS(Transactions!$E:$E,Transactions!$D:$D,"Expense",Transactions!$A:$A,"&gt;="&amp;(EOMONTH(TODAY(),-8)+1),Transactions!$A:$A,"&lt;="&amp;EOMONTH(TODAY(),-7))</f>
        <v/>
      </c>
      <c r="E31" s="121">
        <f>$C31-$D31</f>
        <v/>
      </c>
    </row>
    <row r="32" ht="15" customHeight="1" s="77">
      <c r="B32" s="122">
        <f>TEXT(EOMONTH(TODAY(),-6),"mmm yy")</f>
        <v/>
      </c>
      <c r="C32" s="109">
        <f>SUMIFS(Transactions!$E:$E,Transactions!$D:$D,"Income",Transactions!$A:$A,"&gt;="&amp;(EOMONTH(TODAY(),-7)+1),Transactions!$A:$A,"&lt;="&amp;EOMONTH(TODAY(),-6))</f>
        <v/>
      </c>
      <c r="D32" s="109">
        <f>SUMIFS(Transactions!$E:$E,Transactions!$D:$D,"Expense",Transactions!$A:$A,"&gt;="&amp;(EOMONTH(TODAY(),-7)+1),Transactions!$A:$A,"&lt;="&amp;EOMONTH(TODAY(),-6))</f>
        <v/>
      </c>
      <c r="E32" s="123">
        <f>$C32-$D32</f>
        <v/>
      </c>
    </row>
    <row r="33" ht="15" customHeight="1" s="77">
      <c r="B33" s="120">
        <f>TEXT(EOMONTH(TODAY(),-5),"mmm yy")</f>
        <v/>
      </c>
      <c r="C33" s="113">
        <f>SUMIFS(Transactions!$E:$E,Transactions!$D:$D,"Income",Transactions!$A:$A,"&gt;="&amp;(EOMONTH(TODAY(),-6)+1),Transactions!$A:$A,"&lt;="&amp;EOMONTH(TODAY(),-5))</f>
        <v/>
      </c>
      <c r="D33" s="113">
        <f>SUMIFS(Transactions!$E:$E,Transactions!$D:$D,"Expense",Transactions!$A:$A,"&gt;="&amp;(EOMONTH(TODAY(),-6)+1),Transactions!$A:$A,"&lt;="&amp;EOMONTH(TODAY(),-5))</f>
        <v/>
      </c>
      <c r="E33" s="121">
        <f>$C33-$D33</f>
        <v/>
      </c>
    </row>
    <row r="34" ht="15" customHeight="1" s="77">
      <c r="B34" s="122">
        <f>TEXT(EOMONTH(TODAY(),-4),"mmm yy")</f>
        <v/>
      </c>
      <c r="C34" s="109">
        <f>SUMIFS(Transactions!$E:$E,Transactions!$D:$D,"Income",Transactions!$A:$A,"&gt;="&amp;(EOMONTH(TODAY(),-5)+1),Transactions!$A:$A,"&lt;="&amp;EOMONTH(TODAY(),-4))</f>
        <v/>
      </c>
      <c r="D34" s="109">
        <f>SUMIFS(Transactions!$E:$E,Transactions!$D:$D,"Expense",Transactions!$A:$A,"&gt;="&amp;(EOMONTH(TODAY(),-5)+1),Transactions!$A:$A,"&lt;="&amp;EOMONTH(TODAY(),-4))</f>
        <v/>
      </c>
      <c r="E34" s="123">
        <f>$C34-$D34</f>
        <v/>
      </c>
    </row>
    <row r="35" ht="15" customHeight="1" s="77">
      <c r="B35" s="120">
        <f>TEXT(EOMONTH(TODAY(),-3),"mmm yy")</f>
        <v/>
      </c>
      <c r="C35" s="113">
        <f>SUMIFS(Transactions!$E:$E,Transactions!$D:$D,"Income",Transactions!$A:$A,"&gt;="&amp;(EOMONTH(TODAY(),-4)+1),Transactions!$A:$A,"&lt;="&amp;EOMONTH(TODAY(),-3))</f>
        <v/>
      </c>
      <c r="D35" s="113">
        <f>SUMIFS(Transactions!$E:$E,Transactions!$D:$D,"Expense",Transactions!$A:$A,"&gt;="&amp;(EOMONTH(TODAY(),-4)+1),Transactions!$A:$A,"&lt;="&amp;EOMONTH(TODAY(),-3))</f>
        <v/>
      </c>
      <c r="E35" s="121">
        <f>$C35-$D35</f>
        <v/>
      </c>
    </row>
    <row r="36" ht="15" customHeight="1" s="77">
      <c r="B36" s="122">
        <f>TEXT(EOMONTH(TODAY(),-2),"mmm yy")</f>
        <v/>
      </c>
      <c r="C36" s="109">
        <f>SUMIFS(Transactions!$E:$E,Transactions!$D:$D,"Income",Transactions!$A:$A,"&gt;="&amp;(EOMONTH(TODAY(),-3)+1),Transactions!$A:$A,"&lt;="&amp;EOMONTH(TODAY(),-2))</f>
        <v/>
      </c>
      <c r="D36" s="109">
        <f>SUMIFS(Transactions!$E:$E,Transactions!$D:$D,"Expense",Transactions!$A:$A,"&gt;="&amp;(EOMONTH(TODAY(),-3)+1),Transactions!$A:$A,"&lt;="&amp;EOMONTH(TODAY(),-2))</f>
        <v/>
      </c>
      <c r="E36" s="123">
        <f>$C36-$D36</f>
        <v/>
      </c>
    </row>
    <row r="37" ht="15" customHeight="1" s="77">
      <c r="B37" s="120">
        <f>TEXT(EOMONTH(TODAY(),-1),"mmm yy")</f>
        <v/>
      </c>
      <c r="C37" s="113">
        <f>SUMIFS(Transactions!$E:$E,Transactions!$D:$D,"Income",Transactions!$A:$A,"&gt;="&amp;(EOMONTH(TODAY(),-2)+1),Transactions!$A:$A,"&lt;="&amp;EOMONTH(TODAY(),-1))</f>
        <v/>
      </c>
      <c r="D37" s="113">
        <f>SUMIFS(Transactions!$E:$E,Transactions!$D:$D,"Expense",Transactions!$A:$A,"&gt;="&amp;(EOMONTH(TODAY(),-2)+1),Transactions!$A:$A,"&lt;="&amp;EOMONTH(TODAY(),-1))</f>
        <v/>
      </c>
      <c r="E37" s="121">
        <f>$C37-$D37</f>
        <v/>
      </c>
    </row>
    <row r="38" ht="15" customHeight="1" s="77">
      <c r="B38" s="122">
        <f>TEXT(EOMONTH(TODAY(),0),"mmm yy")</f>
        <v/>
      </c>
      <c r="C38" s="109">
        <f>SUMIFS(Transactions!$E:$E,Transactions!$D:$D,"Income",Transactions!$A:$A,"&gt;="&amp;(EOMONTH(TODAY(),-1)+1),Transactions!$A:$A,"&lt;="&amp;EOMONTH(TODAY(),0))</f>
        <v/>
      </c>
      <c r="D38" s="109">
        <f>SUMIFS(Transactions!$E:$E,Transactions!$D:$D,"Expense",Transactions!$A:$A,"&gt;="&amp;(EOMONTH(TODAY(),-1)+1),Transactions!$A:$A,"&lt;="&amp;EOMONTH(TODAY(),0))</f>
        <v/>
      </c>
      <c r="E38" s="123">
        <f>$C38-$D38</f>
        <v/>
      </c>
    </row>
    <row r="40" ht="21.75" customHeight="1" s="77">
      <c r="B40" s="103" t="inlineStr">
        <is>
          <t>🏷️  Where the Money Goes — Selected Period</t>
        </is>
      </c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</row>
    <row r="62" ht="15" customHeight="1" s="77">
      <c r="B62" s="124" t="inlineStr">
        <is>
          <t>Tip: log transactions in the Transactions tab — every number and chart here refreshes on its own.</t>
        </is>
      </c>
    </row>
  </sheetData>
  <mergeCells count="17">
    <mergeCell ref="B6:C6"/>
    <mergeCell ref="K7:L7"/>
    <mergeCell ref="E6:F6"/>
    <mergeCell ref="H6:I6"/>
    <mergeCell ref="B7:C7"/>
    <mergeCell ref="E7:F7"/>
    <mergeCell ref="K8:L8"/>
    <mergeCell ref="H7:I7"/>
    <mergeCell ref="B25:L25"/>
    <mergeCell ref="E8:F8"/>
    <mergeCell ref="B10:L10"/>
    <mergeCell ref="H8:I8"/>
    <mergeCell ref="K6:L6"/>
    <mergeCell ref="B8:C8"/>
    <mergeCell ref="B40:L40"/>
    <mergeCell ref="F4:J4"/>
    <mergeCell ref="C4:D4"/>
  </mergeCells>
  <conditionalFormatting sqref="G12:G22">
    <cfRule type="dataBar" priority="2">
      <dataBar minLength="10" maxLength="90" showValue="1">
        <cfvo type="num" val="0"/>
        <cfvo type="num" val="1"/>
        <color rgb="FF7C3AED"/>
      </dataBar>
    </cfRule>
  </conditionalFormatting>
  <conditionalFormatting sqref="H12:H22">
    <cfRule type="expression" rank="0" priority="3" equalAverage="0" aboveAverage="0" dxfId="0" text="" percent="0" bottom="0">
      <formula>$G12&gt;1</formula>
    </cfRule>
    <cfRule type="expression" rank="0" priority="4" equalAverage="0" aboveAverage="0" dxfId="1" text="" percent="0" bottom="0">
      <formula>AND($G12&gt;=0.85,$G12&lt;=1)</formula>
    </cfRule>
  </conditionalFormatting>
  <dataValidations count="1">
    <dataValidation sqref="C4" showDropDown="0" showInputMessage="0" showErrorMessage="0" allowBlank="0" type="list" errorStyle="stop" operator="between">
      <formula1>PeriodList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10B981"/>
    <outlinePr summaryBelow="1" summaryRight="1"/>
    <pageSetUpPr fitToPage="0"/>
  </sheetPr>
  <dimension ref="A1:G2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76" min="1" max="1"/>
    <col width="34" customWidth="1" style="76" min="2" max="2"/>
    <col width="17" customWidth="1" style="76" min="3" max="3"/>
    <col width="11" customWidth="1" style="76" min="4" max="4"/>
    <col width="13" customWidth="1" style="76" min="5" max="5"/>
    <col width="14" customWidth="1" style="76" min="6" max="6"/>
    <col width="26" customWidth="1" style="76" min="7" max="7"/>
  </cols>
  <sheetData>
    <row r="1" ht="21.75" customHeight="1" s="77">
      <c r="A1" s="125" t="inlineStr">
        <is>
          <t>Date</t>
        </is>
      </c>
      <c r="B1" s="125" t="inlineStr">
        <is>
          <t>Description</t>
        </is>
      </c>
      <c r="C1" s="125" t="inlineStr">
        <is>
          <t>Category</t>
        </is>
      </c>
      <c r="D1" s="125" t="inlineStr">
        <is>
          <t>Type</t>
        </is>
      </c>
      <c r="E1" s="125" t="inlineStr">
        <is>
          <t>Amount</t>
        </is>
      </c>
      <c r="F1" s="125" t="inlineStr">
        <is>
          <t>Account</t>
        </is>
      </c>
      <c r="G1" s="125" t="inlineStr">
        <is>
          <t>Notes</t>
        </is>
      </c>
    </row>
    <row r="2" ht="15" customHeight="1" s="77">
      <c r="A2" s="126" t="n">
        <v>45870</v>
      </c>
      <c r="B2" s="127" t="inlineStr">
        <is>
          <t>Apartment rent</t>
        </is>
      </c>
      <c r="C2" s="127" t="inlineStr">
        <is>
          <t>Housing</t>
        </is>
      </c>
      <c r="D2" s="128" t="inlineStr">
        <is>
          <t>Expense</t>
        </is>
      </c>
      <c r="E2" s="129" t="n">
        <v>18000</v>
      </c>
      <c r="F2" s="128" t="inlineStr">
        <is>
          <t>BPI Checking</t>
        </is>
      </c>
      <c r="G2" s="127" t="n"/>
    </row>
    <row r="3" ht="15" customHeight="1" s="77">
      <c r="A3" s="126" t="n">
        <v>45871</v>
      </c>
      <c r="B3" s="127" t="inlineStr">
        <is>
          <t>Anytime Fitness membership</t>
        </is>
      </c>
      <c r="C3" s="127" t="inlineStr">
        <is>
          <t>Health &amp; Fitness</t>
        </is>
      </c>
      <c r="D3" s="128" t="inlineStr">
        <is>
          <t>Expense</t>
        </is>
      </c>
      <c r="E3" s="129" t="n">
        <v>1500</v>
      </c>
      <c r="F3" s="128" t="inlineStr">
        <is>
          <t>Credit Card</t>
        </is>
      </c>
      <c r="G3" s="127" t="n"/>
    </row>
    <row r="4" ht="15" customHeight="1" s="77">
      <c r="A4" s="126" t="n">
        <v>45872</v>
      </c>
      <c r="B4" s="127" t="inlineStr">
        <is>
          <t>Netflix</t>
        </is>
      </c>
      <c r="C4" s="127" t="inlineStr">
        <is>
          <t>Subscriptions</t>
        </is>
      </c>
      <c r="D4" s="128" t="inlineStr">
        <is>
          <t>Expense</t>
        </is>
      </c>
      <c r="E4" s="129" t="n">
        <v>549</v>
      </c>
      <c r="F4" s="128" t="inlineStr">
        <is>
          <t>Credit Card</t>
        </is>
      </c>
      <c r="G4" s="127" t="n"/>
    </row>
    <row r="5" ht="15" customHeight="1" s="77">
      <c r="A5" s="126" t="n">
        <v>45872</v>
      </c>
      <c r="B5" s="127" t="inlineStr">
        <is>
          <t>Landers grocery haul</t>
        </is>
      </c>
      <c r="C5" s="127" t="inlineStr">
        <is>
          <t>Groceries</t>
        </is>
      </c>
      <c r="D5" s="128" t="inlineStr">
        <is>
          <t>Expense</t>
        </is>
      </c>
      <c r="E5" s="129" t="n">
        <v>3189</v>
      </c>
      <c r="F5" s="128" t="inlineStr">
        <is>
          <t>GCash</t>
        </is>
      </c>
      <c r="G5" s="127" t="n"/>
    </row>
    <row r="6" ht="15" customHeight="1" s="77">
      <c r="A6" s="126" t="n">
        <v>45872</v>
      </c>
      <c r="B6" s="127" t="inlineStr">
        <is>
          <t>Landers grocery haul</t>
        </is>
      </c>
      <c r="C6" s="127" t="inlineStr">
        <is>
          <t>Groceries</t>
        </is>
      </c>
      <c r="D6" s="128" t="inlineStr">
        <is>
          <t>Expense</t>
        </is>
      </c>
      <c r="E6" s="129" t="n">
        <v>2901</v>
      </c>
      <c r="F6" s="128" t="inlineStr">
        <is>
          <t>GCash</t>
        </is>
      </c>
      <c r="G6" s="127" t="n"/>
    </row>
    <row r="7" ht="15" customHeight="1" s="77">
      <c r="A7" s="126" t="n">
        <v>45872</v>
      </c>
      <c r="B7" s="127" t="inlineStr">
        <is>
          <t>Steam game</t>
        </is>
      </c>
      <c r="C7" s="127" t="inlineStr">
        <is>
          <t>Entertainment</t>
        </is>
      </c>
      <c r="D7" s="128" t="inlineStr">
        <is>
          <t>Expense</t>
        </is>
      </c>
      <c r="E7" s="129" t="n">
        <v>552</v>
      </c>
      <c r="F7" s="128" t="inlineStr">
        <is>
          <t>GCash</t>
        </is>
      </c>
      <c r="G7" s="127" t="n"/>
    </row>
    <row r="8" ht="15" customHeight="1" s="77">
      <c r="A8" s="126" t="n">
        <v>45874</v>
      </c>
      <c r="B8" s="127" t="inlineStr">
        <is>
          <t>Monthly salary — payroll</t>
        </is>
      </c>
      <c r="C8" s="127" t="inlineStr">
        <is>
          <t>Salary</t>
        </is>
      </c>
      <c r="D8" s="128" t="inlineStr">
        <is>
          <t>Income</t>
        </is>
      </c>
      <c r="E8" s="129" t="n">
        <v>72000</v>
      </c>
      <c r="F8" s="128" t="inlineStr">
        <is>
          <t>BPI Checking</t>
        </is>
      </c>
      <c r="G8" s="127" t="n"/>
    </row>
    <row r="9" ht="15" customHeight="1" s="77">
      <c r="A9" s="126" t="n">
        <v>45874</v>
      </c>
      <c r="B9" s="127" t="inlineStr">
        <is>
          <t>Milk tea run</t>
        </is>
      </c>
      <c r="C9" s="127" t="inlineStr">
        <is>
          <t>Dining Out</t>
        </is>
      </c>
      <c r="D9" s="128" t="inlineStr">
        <is>
          <t>Expense</t>
        </is>
      </c>
      <c r="E9" s="129" t="n">
        <v>469</v>
      </c>
      <c r="F9" s="128" t="inlineStr">
        <is>
          <t>Credit Card</t>
        </is>
      </c>
      <c r="G9" s="127" t="n"/>
    </row>
    <row r="10" ht="15" customHeight="1" s="77">
      <c r="A10" s="126" t="n">
        <v>45876</v>
      </c>
      <c r="B10" s="127" t="inlineStr">
        <is>
          <t>Spotify Premium</t>
        </is>
      </c>
      <c r="C10" s="127" t="inlineStr">
        <is>
          <t>Subscriptions</t>
        </is>
      </c>
      <c r="D10" s="128" t="inlineStr">
        <is>
          <t>Expense</t>
        </is>
      </c>
      <c r="E10" s="129" t="n">
        <v>194</v>
      </c>
      <c r="F10" s="128" t="inlineStr">
        <is>
          <t>Credit Card</t>
        </is>
      </c>
      <c r="G10" s="127" t="n"/>
    </row>
    <row r="11" ht="15" customHeight="1" s="77">
      <c r="A11" s="126" t="n">
        <v>45877</v>
      </c>
      <c r="B11" s="127" t="inlineStr">
        <is>
          <t>WalterMart groceries</t>
        </is>
      </c>
      <c r="C11" s="127" t="inlineStr">
        <is>
          <t>Groceries</t>
        </is>
      </c>
      <c r="D11" s="128" t="inlineStr">
        <is>
          <t>Expense</t>
        </is>
      </c>
      <c r="E11" s="129" t="n">
        <v>2830</v>
      </c>
      <c r="F11" s="128" t="inlineStr">
        <is>
          <t>Cash</t>
        </is>
      </c>
      <c r="G11" s="127" t="n"/>
    </row>
    <row r="12" ht="15" customHeight="1" s="77">
      <c r="A12" s="126" t="n">
        <v>45877</v>
      </c>
      <c r="B12" s="127" t="inlineStr">
        <is>
          <t>Gas — Shell</t>
        </is>
      </c>
      <c r="C12" s="127" t="inlineStr">
        <is>
          <t>Transportation</t>
        </is>
      </c>
      <c r="D12" s="128" t="inlineStr">
        <is>
          <t>Expense</t>
        </is>
      </c>
      <c r="E12" s="129" t="n">
        <v>648</v>
      </c>
      <c r="F12" s="128" t="inlineStr">
        <is>
          <t>GCash</t>
        </is>
      </c>
      <c r="G12" s="127" t="n"/>
    </row>
    <row r="13" ht="15" customHeight="1" s="77">
      <c r="A13" s="126" t="n">
        <v>45878</v>
      </c>
      <c r="B13" s="127" t="inlineStr">
        <is>
          <t>iCloud+ storage</t>
        </is>
      </c>
      <c r="C13" s="127" t="inlineStr">
        <is>
          <t>Subscriptions</t>
        </is>
      </c>
      <c r="D13" s="128" t="inlineStr">
        <is>
          <t>Expense</t>
        </is>
      </c>
      <c r="E13" s="129" t="n">
        <v>99</v>
      </c>
      <c r="F13" s="128" t="inlineStr">
        <is>
          <t>Credit Card</t>
        </is>
      </c>
      <c r="G13" s="127" t="n"/>
    </row>
    <row r="14" ht="15" customHeight="1" s="77">
      <c r="A14" s="126" t="n">
        <v>45878</v>
      </c>
      <c r="B14" s="127" t="inlineStr">
        <is>
          <t>Gas — Shell</t>
        </is>
      </c>
      <c r="C14" s="127" t="inlineStr">
        <is>
          <t>Transportation</t>
        </is>
      </c>
      <c r="D14" s="128" t="inlineStr">
        <is>
          <t>Expense</t>
        </is>
      </c>
      <c r="E14" s="129" t="n">
        <v>456</v>
      </c>
      <c r="F14" s="128" t="inlineStr">
        <is>
          <t>Cash</t>
        </is>
      </c>
      <c r="G14" s="127" t="n"/>
    </row>
    <row r="15" ht="15" customHeight="1" s="77">
      <c r="A15" s="126" t="n">
        <v>45878</v>
      </c>
      <c r="B15" s="127" t="inlineStr">
        <is>
          <t>Milk tea run</t>
        </is>
      </c>
      <c r="C15" s="127" t="inlineStr">
        <is>
          <t>Dining Out</t>
        </is>
      </c>
      <c r="D15" s="128" t="inlineStr">
        <is>
          <t>Expense</t>
        </is>
      </c>
      <c r="E15" s="129" t="n">
        <v>443</v>
      </c>
      <c r="F15" s="128" t="inlineStr">
        <is>
          <t>Cash</t>
        </is>
      </c>
      <c r="G15" s="127" t="n"/>
    </row>
    <row r="16" ht="15" customHeight="1" s="77">
      <c r="A16" s="126" t="n">
        <v>45879</v>
      </c>
      <c r="B16" s="127" t="inlineStr">
        <is>
          <t>Meralco electricity</t>
        </is>
      </c>
      <c r="C16" s="127" t="inlineStr">
        <is>
          <t>Utilities</t>
        </is>
      </c>
      <c r="D16" s="128" t="inlineStr">
        <is>
          <t>Expense</t>
        </is>
      </c>
      <c r="E16" s="129" t="n">
        <v>2615</v>
      </c>
      <c r="F16" s="128" t="inlineStr">
        <is>
          <t>GCash</t>
        </is>
      </c>
      <c r="G16" s="127" t="n"/>
    </row>
    <row r="17" ht="15" customHeight="1" s="77">
      <c r="A17" s="126" t="n">
        <v>45881</v>
      </c>
      <c r="B17" s="127" t="inlineStr">
        <is>
          <t>Manila Water</t>
        </is>
      </c>
      <c r="C17" s="127" t="inlineStr">
        <is>
          <t>Utilities</t>
        </is>
      </c>
      <c r="D17" s="128" t="inlineStr">
        <is>
          <t>Expense</t>
        </is>
      </c>
      <c r="E17" s="129" t="n">
        <v>548</v>
      </c>
      <c r="F17" s="128" t="inlineStr">
        <is>
          <t>GCash</t>
        </is>
      </c>
      <c r="G17" s="127" t="n"/>
    </row>
    <row r="18" ht="15" customHeight="1" s="77">
      <c r="A18" s="126" t="n">
        <v>45884</v>
      </c>
      <c r="B18" s="127" t="inlineStr">
        <is>
          <t>PLDT Home Fibr</t>
        </is>
      </c>
      <c r="C18" s="127" t="inlineStr">
        <is>
          <t>Utilities</t>
        </is>
      </c>
      <c r="D18" s="128" t="inlineStr">
        <is>
          <t>Expense</t>
        </is>
      </c>
      <c r="E18" s="129" t="n">
        <v>1699</v>
      </c>
      <c r="F18" s="128" t="inlineStr">
        <is>
          <t>Credit Card</t>
        </is>
      </c>
      <c r="G18" s="127" t="n"/>
    </row>
    <row r="19" ht="15" customHeight="1" s="77">
      <c r="A19" s="126" t="n">
        <v>45884</v>
      </c>
      <c r="B19" s="127" t="inlineStr">
        <is>
          <t>Steam game</t>
        </is>
      </c>
      <c r="C19" s="127" t="inlineStr">
        <is>
          <t>Entertainment</t>
        </is>
      </c>
      <c r="D19" s="128" t="inlineStr">
        <is>
          <t>Expense</t>
        </is>
      </c>
      <c r="E19" s="129" t="n">
        <v>1217</v>
      </c>
      <c r="F19" s="128" t="inlineStr">
        <is>
          <t>Credit Card</t>
        </is>
      </c>
      <c r="G19" s="127" t="n"/>
    </row>
    <row r="20" ht="15" customHeight="1" s="77">
      <c r="A20" s="126" t="n">
        <v>45892</v>
      </c>
      <c r="B20" s="127" t="inlineStr">
        <is>
          <t>Beep card top-up</t>
        </is>
      </c>
      <c r="C20" s="127" t="inlineStr">
        <is>
          <t>Transportation</t>
        </is>
      </c>
      <c r="D20" s="128" t="inlineStr">
        <is>
          <t>Expense</t>
        </is>
      </c>
      <c r="E20" s="129" t="n">
        <v>397</v>
      </c>
      <c r="F20" s="128" t="inlineStr">
        <is>
          <t>Cash</t>
        </is>
      </c>
      <c r="G20" s="127" t="n"/>
    </row>
    <row r="21" ht="15" customHeight="1" s="77">
      <c r="A21" s="126" t="n">
        <v>45892</v>
      </c>
      <c r="B21" s="127" t="inlineStr">
        <is>
          <t>Vitamins restock</t>
        </is>
      </c>
      <c r="C21" s="127" t="inlineStr">
        <is>
          <t>Health &amp; Fitness</t>
        </is>
      </c>
      <c r="D21" s="128" t="inlineStr">
        <is>
          <t>Expense</t>
        </is>
      </c>
      <c r="E21" s="129" t="n">
        <v>1684</v>
      </c>
      <c r="F21" s="128" t="inlineStr">
        <is>
          <t>GCash</t>
        </is>
      </c>
      <c r="G21" s="127" t="n"/>
    </row>
    <row r="22" ht="15" customHeight="1" s="77">
      <c r="A22" s="126" t="n">
        <v>45894</v>
      </c>
      <c r="B22" s="127" t="inlineStr">
        <is>
          <t>Coffee — % Arabica</t>
        </is>
      </c>
      <c r="C22" s="127" t="inlineStr">
        <is>
          <t>Dining Out</t>
        </is>
      </c>
      <c r="D22" s="128" t="inlineStr">
        <is>
          <t>Expense</t>
        </is>
      </c>
      <c r="E22" s="129" t="n">
        <v>1493</v>
      </c>
      <c r="F22" s="128" t="inlineStr">
        <is>
          <t>Credit Card</t>
        </is>
      </c>
      <c r="G22" s="127" t="n"/>
    </row>
    <row r="23" ht="15" customHeight="1" s="77">
      <c r="A23" s="126" t="n">
        <v>45901</v>
      </c>
      <c r="B23" s="127" t="inlineStr">
        <is>
          <t>Apartment rent</t>
        </is>
      </c>
      <c r="C23" s="127" t="inlineStr">
        <is>
          <t>Housing</t>
        </is>
      </c>
      <c r="D23" s="128" t="inlineStr">
        <is>
          <t>Expense</t>
        </is>
      </c>
      <c r="E23" s="129" t="n">
        <v>18000</v>
      </c>
      <c r="F23" s="128" t="inlineStr">
        <is>
          <t>BPI Checking</t>
        </is>
      </c>
      <c r="G23" s="127" t="n"/>
    </row>
    <row r="24" ht="15" customHeight="1" s="77">
      <c r="A24" s="126" t="n">
        <v>45902</v>
      </c>
      <c r="B24" s="127" t="inlineStr">
        <is>
          <t>Anytime Fitness membership</t>
        </is>
      </c>
      <c r="C24" s="127" t="inlineStr">
        <is>
          <t>Health &amp; Fitness</t>
        </is>
      </c>
      <c r="D24" s="128" t="inlineStr">
        <is>
          <t>Expense</t>
        </is>
      </c>
      <c r="E24" s="129" t="n">
        <v>1500</v>
      </c>
      <c r="F24" s="128" t="inlineStr">
        <is>
          <t>Credit Card</t>
        </is>
      </c>
      <c r="G24" s="127" t="n"/>
    </row>
    <row r="25" ht="15" customHeight="1" s="77">
      <c r="A25" s="126" t="n">
        <v>45903</v>
      </c>
      <c r="B25" s="127" t="inlineStr">
        <is>
          <t>Netflix</t>
        </is>
      </c>
      <c r="C25" s="127" t="inlineStr">
        <is>
          <t>Subscriptions</t>
        </is>
      </c>
      <c r="D25" s="128" t="inlineStr">
        <is>
          <t>Expense</t>
        </is>
      </c>
      <c r="E25" s="129" t="n">
        <v>549</v>
      </c>
      <c r="F25" s="128" t="inlineStr">
        <is>
          <t>Credit Card</t>
        </is>
      </c>
      <c r="G25" s="127" t="n"/>
    </row>
    <row r="26" ht="15" customHeight="1" s="77">
      <c r="A26" s="126" t="n">
        <v>45905</v>
      </c>
      <c r="B26" s="127" t="inlineStr">
        <is>
          <t>Monthly salary — payroll</t>
        </is>
      </c>
      <c r="C26" s="127" t="inlineStr">
        <is>
          <t>Salary</t>
        </is>
      </c>
      <c r="D26" s="128" t="inlineStr">
        <is>
          <t>Income</t>
        </is>
      </c>
      <c r="E26" s="129" t="n">
        <v>72000</v>
      </c>
      <c r="F26" s="128" t="inlineStr">
        <is>
          <t>BPI Checking</t>
        </is>
      </c>
      <c r="G26" s="127" t="n"/>
    </row>
    <row r="27" ht="15" customHeight="1" s="77">
      <c r="A27" s="126" t="n">
        <v>45905</v>
      </c>
      <c r="B27" s="127" t="inlineStr">
        <is>
          <t>Beep card top-up</t>
        </is>
      </c>
      <c r="C27" s="127" t="inlineStr">
        <is>
          <t>Transportation</t>
        </is>
      </c>
      <c r="D27" s="128" t="inlineStr">
        <is>
          <t>Expense</t>
        </is>
      </c>
      <c r="E27" s="129" t="n">
        <v>333</v>
      </c>
      <c r="F27" s="128" t="inlineStr">
        <is>
          <t>Cash</t>
        </is>
      </c>
      <c r="G27" s="127" t="n"/>
    </row>
    <row r="28" ht="15" customHeight="1" s="77">
      <c r="A28" s="126" t="n">
        <v>45907</v>
      </c>
      <c r="B28" s="127" t="inlineStr">
        <is>
          <t>Spotify Premium</t>
        </is>
      </c>
      <c r="C28" s="127" t="inlineStr">
        <is>
          <t>Subscriptions</t>
        </is>
      </c>
      <c r="D28" s="128" t="inlineStr">
        <is>
          <t>Expense</t>
        </is>
      </c>
      <c r="E28" s="129" t="n">
        <v>194</v>
      </c>
      <c r="F28" s="128" t="inlineStr">
        <is>
          <t>Credit Card</t>
        </is>
      </c>
      <c r="G28" s="127" t="n"/>
    </row>
    <row r="29" ht="15" customHeight="1" s="77">
      <c r="A29" s="126" t="n">
        <v>45908</v>
      </c>
      <c r="B29" s="127" t="inlineStr">
        <is>
          <t>Puregold groceries</t>
        </is>
      </c>
      <c r="C29" s="127" t="inlineStr">
        <is>
          <t>Groceries</t>
        </is>
      </c>
      <c r="D29" s="128" t="inlineStr">
        <is>
          <t>Expense</t>
        </is>
      </c>
      <c r="E29" s="129" t="n">
        <v>2820</v>
      </c>
      <c r="F29" s="128" t="inlineStr">
        <is>
          <t>Credit Card</t>
        </is>
      </c>
      <c r="G29" s="127" t="n"/>
    </row>
    <row r="30" ht="15" customHeight="1" s="77">
      <c r="A30" s="126" t="n">
        <v>45909</v>
      </c>
      <c r="B30" s="127" t="inlineStr">
        <is>
          <t>iCloud+ storage</t>
        </is>
      </c>
      <c r="C30" s="127" t="inlineStr">
        <is>
          <t>Subscriptions</t>
        </is>
      </c>
      <c r="D30" s="128" t="inlineStr">
        <is>
          <t>Expense</t>
        </is>
      </c>
      <c r="E30" s="129" t="n">
        <v>99</v>
      </c>
      <c r="F30" s="128" t="inlineStr">
        <is>
          <t>Credit Card</t>
        </is>
      </c>
      <c r="G30" s="127" t="n"/>
    </row>
    <row r="31" ht="15" customHeight="1" s="77">
      <c r="A31" s="126" t="n">
        <v>45910</v>
      </c>
      <c r="B31" s="127" t="inlineStr">
        <is>
          <t>Meralco electricity</t>
        </is>
      </c>
      <c r="C31" s="127" t="inlineStr">
        <is>
          <t>Utilities</t>
        </is>
      </c>
      <c r="D31" s="128" t="inlineStr">
        <is>
          <t>Expense</t>
        </is>
      </c>
      <c r="E31" s="129" t="n">
        <v>3316</v>
      </c>
      <c r="F31" s="128" t="inlineStr">
        <is>
          <t>GCash</t>
        </is>
      </c>
      <c r="G31" s="127" t="n"/>
    </row>
    <row r="32" ht="15" customHeight="1" s="77">
      <c r="A32" s="126" t="n">
        <v>45912</v>
      </c>
      <c r="B32" s="127" t="inlineStr">
        <is>
          <t>Freelance — logo project</t>
        </is>
      </c>
      <c r="C32" s="127" t="inlineStr">
        <is>
          <t>Freelance</t>
        </is>
      </c>
      <c r="D32" s="128" t="inlineStr">
        <is>
          <t>Income</t>
        </is>
      </c>
      <c r="E32" s="129" t="n">
        <v>8000</v>
      </c>
      <c r="F32" s="128" t="inlineStr">
        <is>
          <t>GCash</t>
        </is>
      </c>
      <c r="G32" s="127" t="n"/>
    </row>
    <row r="33" ht="15" customHeight="1" s="77">
      <c r="A33" s="126" t="n">
        <v>45912</v>
      </c>
      <c r="B33" s="127" t="inlineStr">
        <is>
          <t>Manila Water</t>
        </is>
      </c>
      <c r="C33" s="127" t="inlineStr">
        <is>
          <t>Utilities</t>
        </is>
      </c>
      <c r="D33" s="128" t="inlineStr">
        <is>
          <t>Expense</t>
        </is>
      </c>
      <c r="E33" s="129" t="n">
        <v>520</v>
      </c>
      <c r="F33" s="128" t="inlineStr">
        <is>
          <t>GCash</t>
        </is>
      </c>
      <c r="G33" s="127" t="n"/>
    </row>
    <row r="34" ht="15" customHeight="1" s="77">
      <c r="A34" s="126" t="n">
        <v>45915</v>
      </c>
      <c r="B34" s="127" t="inlineStr">
        <is>
          <t>PLDT Home Fibr</t>
        </is>
      </c>
      <c r="C34" s="127" t="inlineStr">
        <is>
          <t>Utilities</t>
        </is>
      </c>
      <c r="D34" s="128" t="inlineStr">
        <is>
          <t>Expense</t>
        </is>
      </c>
      <c r="E34" s="129" t="n">
        <v>1699</v>
      </c>
      <c r="F34" s="128" t="inlineStr">
        <is>
          <t>Credit Card</t>
        </is>
      </c>
      <c r="G34" s="127" t="n"/>
    </row>
    <row r="35" ht="15" customHeight="1" s="77">
      <c r="A35" s="126" t="n">
        <v>45917</v>
      </c>
      <c r="B35" s="127" t="inlineStr">
        <is>
          <t>Milk tea run</t>
        </is>
      </c>
      <c r="C35" s="127" t="inlineStr">
        <is>
          <t>Dining Out</t>
        </is>
      </c>
      <c r="D35" s="128" t="inlineStr">
        <is>
          <t>Expense</t>
        </is>
      </c>
      <c r="E35" s="129" t="n">
        <v>1178</v>
      </c>
      <c r="F35" s="128" t="inlineStr">
        <is>
          <t>Credit Card</t>
        </is>
      </c>
      <c r="G35" s="127" t="n"/>
    </row>
    <row r="36" ht="15" customHeight="1" s="77">
      <c r="A36" s="126" t="n">
        <v>45919</v>
      </c>
      <c r="B36" s="127" t="inlineStr">
        <is>
          <t>Puregold groceries</t>
        </is>
      </c>
      <c r="C36" s="127" t="inlineStr">
        <is>
          <t>Groceries</t>
        </is>
      </c>
      <c r="D36" s="128" t="inlineStr">
        <is>
          <t>Expense</t>
        </is>
      </c>
      <c r="E36" s="129" t="n">
        <v>1813</v>
      </c>
      <c r="F36" s="128" t="inlineStr">
        <is>
          <t>GCash</t>
        </is>
      </c>
      <c r="G36" s="127" t="n"/>
    </row>
    <row r="37" ht="15" customHeight="1" s="77">
      <c r="A37" s="126" t="n">
        <v>45920</v>
      </c>
      <c r="B37" s="127" t="inlineStr">
        <is>
          <t>Grab rides</t>
        </is>
      </c>
      <c r="C37" s="127" t="inlineStr">
        <is>
          <t>Transportation</t>
        </is>
      </c>
      <c r="D37" s="128" t="inlineStr">
        <is>
          <t>Expense</t>
        </is>
      </c>
      <c r="E37" s="129" t="n">
        <v>291</v>
      </c>
      <c r="F37" s="128" t="inlineStr">
        <is>
          <t>GCash</t>
        </is>
      </c>
      <c r="G37" s="127" t="n"/>
    </row>
    <row r="38" ht="15" customHeight="1" s="77">
      <c r="A38" s="126" t="n">
        <v>45921</v>
      </c>
      <c r="B38" s="127" t="inlineStr">
        <is>
          <t>Parking</t>
        </is>
      </c>
      <c r="C38" s="127" t="inlineStr">
        <is>
          <t>Miscellaneous</t>
        </is>
      </c>
      <c r="D38" s="128" t="inlineStr">
        <is>
          <t>Expense</t>
        </is>
      </c>
      <c r="E38" s="129" t="n">
        <v>637</v>
      </c>
      <c r="F38" s="128" t="inlineStr">
        <is>
          <t>Cash</t>
        </is>
      </c>
      <c r="G38" s="127" t="n"/>
    </row>
    <row r="39" ht="15" customHeight="1" s="77">
      <c r="A39" s="126" t="n">
        <v>45923</v>
      </c>
      <c r="B39" s="127" t="inlineStr">
        <is>
          <t>Coffee — % Arabica</t>
        </is>
      </c>
      <c r="C39" s="127" t="inlineStr">
        <is>
          <t>Dining Out</t>
        </is>
      </c>
      <c r="D39" s="128" t="inlineStr">
        <is>
          <t>Expense</t>
        </is>
      </c>
      <c r="E39" s="129" t="n">
        <v>1092</v>
      </c>
      <c r="F39" s="128" t="inlineStr">
        <is>
          <t>Credit Card</t>
        </is>
      </c>
      <c r="G39" s="127" t="n"/>
    </row>
    <row r="40" ht="15" customHeight="1" s="77">
      <c r="A40" s="126" t="n">
        <v>45924</v>
      </c>
      <c r="B40" s="127" t="inlineStr">
        <is>
          <t>SM Supermarket run</t>
        </is>
      </c>
      <c r="C40" s="127" t="inlineStr">
        <is>
          <t>Groceries</t>
        </is>
      </c>
      <c r="D40" s="128" t="inlineStr">
        <is>
          <t>Expense</t>
        </is>
      </c>
      <c r="E40" s="129" t="n">
        <v>1696</v>
      </c>
      <c r="F40" s="128" t="inlineStr">
        <is>
          <t>GCash</t>
        </is>
      </c>
      <c r="G40" s="127" t="n"/>
    </row>
    <row r="41" ht="15" customHeight="1" s="77">
      <c r="A41" s="126" t="n">
        <v>45926</v>
      </c>
      <c r="B41" s="127" t="inlineStr">
        <is>
          <t>Ramen — Mendokoro</t>
        </is>
      </c>
      <c r="C41" s="127" t="inlineStr">
        <is>
          <t>Dining Out</t>
        </is>
      </c>
      <c r="D41" s="128" t="inlineStr">
        <is>
          <t>Expense</t>
        </is>
      </c>
      <c r="E41" s="129" t="n">
        <v>1091</v>
      </c>
      <c r="F41" s="128" t="inlineStr">
        <is>
          <t>Credit Card</t>
        </is>
      </c>
      <c r="G41" s="127" t="n"/>
    </row>
    <row r="42" ht="15" customHeight="1" s="77">
      <c r="A42" s="126" t="n">
        <v>45927</v>
      </c>
      <c r="B42" s="127" t="inlineStr">
        <is>
          <t>Grab rides</t>
        </is>
      </c>
      <c r="C42" s="127" t="inlineStr">
        <is>
          <t>Transportation</t>
        </is>
      </c>
      <c r="D42" s="128" t="inlineStr">
        <is>
          <t>Expense</t>
        </is>
      </c>
      <c r="E42" s="129" t="n">
        <v>680</v>
      </c>
      <c r="F42" s="128" t="inlineStr">
        <is>
          <t>GCash</t>
        </is>
      </c>
      <c r="G42" s="127" t="n"/>
    </row>
    <row r="43" ht="15" customHeight="1" s="77">
      <c r="A43" s="126" t="n">
        <v>45931</v>
      </c>
      <c r="B43" s="127" t="inlineStr">
        <is>
          <t>Apartment rent</t>
        </is>
      </c>
      <c r="C43" s="127" t="inlineStr">
        <is>
          <t>Housing</t>
        </is>
      </c>
      <c r="D43" s="128" t="inlineStr">
        <is>
          <t>Expense</t>
        </is>
      </c>
      <c r="E43" s="129" t="n">
        <v>18000</v>
      </c>
      <c r="F43" s="128" t="inlineStr">
        <is>
          <t>BPI Checking</t>
        </is>
      </c>
      <c r="G43" s="127" t="n"/>
    </row>
    <row r="44" ht="15" customHeight="1" s="77">
      <c r="A44" s="126" t="n">
        <v>45932</v>
      </c>
      <c r="B44" s="127" t="inlineStr">
        <is>
          <t>Anytime Fitness membership</t>
        </is>
      </c>
      <c r="C44" s="127" t="inlineStr">
        <is>
          <t>Health &amp; Fitness</t>
        </is>
      </c>
      <c r="D44" s="128" t="inlineStr">
        <is>
          <t>Expense</t>
        </is>
      </c>
      <c r="E44" s="129" t="n">
        <v>1500</v>
      </c>
      <c r="F44" s="128" t="inlineStr">
        <is>
          <t>Credit Card</t>
        </is>
      </c>
      <c r="G44" s="127" t="n"/>
    </row>
    <row r="45" ht="15" customHeight="1" s="77">
      <c r="A45" s="126" t="n">
        <v>45933</v>
      </c>
      <c r="B45" s="127" t="inlineStr">
        <is>
          <t>Netflix</t>
        </is>
      </c>
      <c r="C45" s="127" t="inlineStr">
        <is>
          <t>Subscriptions</t>
        </is>
      </c>
      <c r="D45" s="128" t="inlineStr">
        <is>
          <t>Expense</t>
        </is>
      </c>
      <c r="E45" s="129" t="n">
        <v>549</v>
      </c>
      <c r="F45" s="128" t="inlineStr">
        <is>
          <t>Credit Card</t>
        </is>
      </c>
      <c r="G45" s="127" t="n"/>
    </row>
    <row r="46" ht="15" customHeight="1" s="77">
      <c r="A46" s="126" t="n">
        <v>45933</v>
      </c>
      <c r="B46" s="127" t="inlineStr">
        <is>
          <t>Grab rides</t>
        </is>
      </c>
      <c r="C46" s="127" t="inlineStr">
        <is>
          <t>Transportation</t>
        </is>
      </c>
      <c r="D46" s="128" t="inlineStr">
        <is>
          <t>Expense</t>
        </is>
      </c>
      <c r="E46" s="129" t="n">
        <v>683</v>
      </c>
      <c r="F46" s="128" t="inlineStr">
        <is>
          <t>Cash</t>
        </is>
      </c>
      <c r="G46" s="127" t="n"/>
    </row>
    <row r="47" ht="15" customHeight="1" s="77">
      <c r="A47" s="126" t="n">
        <v>45935</v>
      </c>
      <c r="B47" s="127" t="inlineStr">
        <is>
          <t>Monthly salary — payroll</t>
        </is>
      </c>
      <c r="C47" s="127" t="inlineStr">
        <is>
          <t>Salary</t>
        </is>
      </c>
      <c r="D47" s="128" t="inlineStr">
        <is>
          <t>Income</t>
        </is>
      </c>
      <c r="E47" s="129" t="n">
        <v>72000</v>
      </c>
      <c r="F47" s="128" t="inlineStr">
        <is>
          <t>BPI Checking</t>
        </is>
      </c>
      <c r="G47" s="127" t="n"/>
    </row>
    <row r="48" ht="15" customHeight="1" s="77">
      <c r="A48" s="126" t="n">
        <v>45935</v>
      </c>
      <c r="B48" s="127" t="inlineStr">
        <is>
          <t>Samgyup night out</t>
        </is>
      </c>
      <c r="C48" s="127" t="inlineStr">
        <is>
          <t>Dining Out</t>
        </is>
      </c>
      <c r="D48" s="128" t="inlineStr">
        <is>
          <t>Expense</t>
        </is>
      </c>
      <c r="E48" s="129" t="n">
        <v>1280</v>
      </c>
      <c r="F48" s="128" t="inlineStr">
        <is>
          <t>Cash</t>
        </is>
      </c>
      <c r="G48" s="127" t="n"/>
    </row>
    <row r="49" ht="15" customHeight="1" s="77">
      <c r="A49" s="126" t="n">
        <v>45937</v>
      </c>
      <c r="B49" s="127" t="inlineStr">
        <is>
          <t>Spotify Premium</t>
        </is>
      </c>
      <c r="C49" s="127" t="inlineStr">
        <is>
          <t>Subscriptions</t>
        </is>
      </c>
      <c r="D49" s="128" t="inlineStr">
        <is>
          <t>Expense</t>
        </is>
      </c>
      <c r="E49" s="129" t="n">
        <v>194</v>
      </c>
      <c r="F49" s="128" t="inlineStr">
        <is>
          <t>Credit Card</t>
        </is>
      </c>
      <c r="G49" s="127" t="n"/>
    </row>
    <row r="50" ht="15" customHeight="1" s="77">
      <c r="A50" s="126" t="n">
        <v>45937</v>
      </c>
      <c r="B50" s="127" t="inlineStr">
        <is>
          <t>SM Supermarket run</t>
        </is>
      </c>
      <c r="C50" s="127" t="inlineStr">
        <is>
          <t>Groceries</t>
        </is>
      </c>
      <c r="D50" s="128" t="inlineStr">
        <is>
          <t>Expense</t>
        </is>
      </c>
      <c r="E50" s="129" t="n">
        <v>1736</v>
      </c>
      <c r="F50" s="128" t="inlineStr">
        <is>
          <t>Cash</t>
        </is>
      </c>
      <c r="G50" s="127" t="n"/>
    </row>
    <row r="51" ht="15" customHeight="1" s="77">
      <c r="A51" s="126" t="n">
        <v>45939</v>
      </c>
      <c r="B51" s="127" t="inlineStr">
        <is>
          <t>iCloud+ storage</t>
        </is>
      </c>
      <c r="C51" s="127" t="inlineStr">
        <is>
          <t>Subscriptions</t>
        </is>
      </c>
      <c r="D51" s="128" t="inlineStr">
        <is>
          <t>Expense</t>
        </is>
      </c>
      <c r="E51" s="129" t="n">
        <v>99</v>
      </c>
      <c r="F51" s="128" t="inlineStr">
        <is>
          <t>Credit Card</t>
        </is>
      </c>
      <c r="G51" s="127" t="n"/>
    </row>
    <row r="52" ht="15" customHeight="1" s="77">
      <c r="A52" s="126" t="n">
        <v>45940</v>
      </c>
      <c r="B52" s="127" t="inlineStr">
        <is>
          <t>Meralco electricity</t>
        </is>
      </c>
      <c r="C52" s="127" t="inlineStr">
        <is>
          <t>Utilities</t>
        </is>
      </c>
      <c r="D52" s="128" t="inlineStr">
        <is>
          <t>Expense</t>
        </is>
      </c>
      <c r="E52" s="129" t="n">
        <v>3622</v>
      </c>
      <c r="F52" s="128" t="inlineStr">
        <is>
          <t>GCash</t>
        </is>
      </c>
      <c r="G52" s="127" t="n"/>
    </row>
    <row r="53" ht="15" customHeight="1" s="77">
      <c r="A53" s="126" t="n">
        <v>45940</v>
      </c>
      <c r="B53" s="127" t="inlineStr">
        <is>
          <t>Gift + card</t>
        </is>
      </c>
      <c r="C53" s="127" t="inlineStr">
        <is>
          <t>Miscellaneous</t>
        </is>
      </c>
      <c r="D53" s="128" t="inlineStr">
        <is>
          <t>Expense</t>
        </is>
      </c>
      <c r="E53" s="129" t="n">
        <v>595</v>
      </c>
      <c r="F53" s="128" t="inlineStr">
        <is>
          <t>Cash</t>
        </is>
      </c>
      <c r="G53" s="127" t="n"/>
    </row>
    <row r="54" ht="15" customHeight="1" s="77">
      <c r="A54" s="126" t="n">
        <v>45941</v>
      </c>
      <c r="B54" s="127" t="inlineStr">
        <is>
          <t>Samgyup night out</t>
        </is>
      </c>
      <c r="C54" s="127" t="inlineStr">
        <is>
          <t>Dining Out</t>
        </is>
      </c>
      <c r="D54" s="128" t="inlineStr">
        <is>
          <t>Expense</t>
        </is>
      </c>
      <c r="E54" s="129" t="n">
        <v>677</v>
      </c>
      <c r="F54" s="128" t="inlineStr">
        <is>
          <t>Credit Card</t>
        </is>
      </c>
      <c r="G54" s="127" t="n"/>
    </row>
    <row r="55" ht="15" customHeight="1" s="77">
      <c r="A55" s="126" t="n">
        <v>45942</v>
      </c>
      <c r="B55" s="127" t="inlineStr">
        <is>
          <t>Manila Water</t>
        </is>
      </c>
      <c r="C55" s="127" t="inlineStr">
        <is>
          <t>Utilities</t>
        </is>
      </c>
      <c r="D55" s="128" t="inlineStr">
        <is>
          <t>Expense</t>
        </is>
      </c>
      <c r="E55" s="129" t="n">
        <v>384</v>
      </c>
      <c r="F55" s="128" t="inlineStr">
        <is>
          <t>GCash</t>
        </is>
      </c>
      <c r="G55" s="127" t="n"/>
    </row>
    <row r="56" ht="15" customHeight="1" s="77">
      <c r="A56" s="126" t="n">
        <v>45944</v>
      </c>
      <c r="B56" s="127" t="inlineStr">
        <is>
          <t>Side gig — photo editing</t>
        </is>
      </c>
      <c r="C56" s="127" t="inlineStr">
        <is>
          <t>Freelance</t>
        </is>
      </c>
      <c r="D56" s="128" t="inlineStr">
        <is>
          <t>Income</t>
        </is>
      </c>
      <c r="E56" s="129" t="n">
        <v>6500</v>
      </c>
      <c r="F56" s="128" t="inlineStr">
        <is>
          <t>GCash</t>
        </is>
      </c>
      <c r="G56" s="127" t="n"/>
    </row>
    <row r="57" ht="15" customHeight="1" s="77">
      <c r="A57" s="126" t="n">
        <v>45944</v>
      </c>
      <c r="B57" s="127" t="inlineStr">
        <is>
          <t>Udemy course</t>
        </is>
      </c>
      <c r="C57" s="127" t="inlineStr">
        <is>
          <t>Education</t>
        </is>
      </c>
      <c r="D57" s="128" t="inlineStr">
        <is>
          <t>Expense</t>
        </is>
      </c>
      <c r="E57" s="129" t="n">
        <v>1062</v>
      </c>
      <c r="F57" s="128" t="inlineStr">
        <is>
          <t>Credit Card</t>
        </is>
      </c>
      <c r="G57" s="127" t="n"/>
    </row>
    <row r="58" ht="15" customHeight="1" s="77">
      <c r="A58" s="126" t="n">
        <v>45945</v>
      </c>
      <c r="B58" s="127" t="inlineStr">
        <is>
          <t>PLDT Home Fibr</t>
        </is>
      </c>
      <c r="C58" s="127" t="inlineStr">
        <is>
          <t>Utilities</t>
        </is>
      </c>
      <c r="D58" s="128" t="inlineStr">
        <is>
          <t>Expense</t>
        </is>
      </c>
      <c r="E58" s="129" t="n">
        <v>1699</v>
      </c>
      <c r="F58" s="128" t="inlineStr">
        <is>
          <t>Credit Card</t>
        </is>
      </c>
      <c r="G58" s="127" t="n"/>
    </row>
    <row r="59" ht="15" customHeight="1" s="77">
      <c r="A59" s="126" t="n">
        <v>45945</v>
      </c>
      <c r="B59" s="127" t="inlineStr">
        <is>
          <t>Landers grocery haul</t>
        </is>
      </c>
      <c r="C59" s="127" t="inlineStr">
        <is>
          <t>Groceries</t>
        </is>
      </c>
      <c r="D59" s="128" t="inlineStr">
        <is>
          <t>Expense</t>
        </is>
      </c>
      <c r="E59" s="129" t="n">
        <v>1731</v>
      </c>
      <c r="F59" s="128" t="inlineStr">
        <is>
          <t>GCash</t>
        </is>
      </c>
      <c r="G59" s="127" t="n"/>
    </row>
    <row r="60" ht="15" customHeight="1" s="77">
      <c r="A60" s="126" t="n">
        <v>45948</v>
      </c>
      <c r="B60" s="127" t="inlineStr">
        <is>
          <t>Ramen — Mendokoro</t>
        </is>
      </c>
      <c r="C60" s="127" t="inlineStr">
        <is>
          <t>Dining Out</t>
        </is>
      </c>
      <c r="D60" s="128" t="inlineStr">
        <is>
          <t>Expense</t>
        </is>
      </c>
      <c r="E60" s="129" t="n">
        <v>1202</v>
      </c>
      <c r="F60" s="128" t="inlineStr">
        <is>
          <t>Credit Card</t>
        </is>
      </c>
      <c r="G60" s="127" t="n"/>
    </row>
    <row r="61" ht="15" customHeight="1" s="77">
      <c r="A61" s="126" t="n">
        <v>45952</v>
      </c>
      <c r="B61" s="127" t="inlineStr">
        <is>
          <t>Gas — Shell</t>
        </is>
      </c>
      <c r="C61" s="127" t="inlineStr">
        <is>
          <t>Transportation</t>
        </is>
      </c>
      <c r="D61" s="128" t="inlineStr">
        <is>
          <t>Expense</t>
        </is>
      </c>
      <c r="E61" s="129" t="n">
        <v>279</v>
      </c>
      <c r="F61" s="128" t="inlineStr">
        <is>
          <t>Cash</t>
        </is>
      </c>
      <c r="G61" s="127" t="n"/>
    </row>
    <row r="62" ht="15" customHeight="1" s="77">
      <c r="A62" s="126" t="n">
        <v>45954</v>
      </c>
      <c r="B62" s="127" t="inlineStr">
        <is>
          <t>Shopee order</t>
        </is>
      </c>
      <c r="C62" s="127" t="inlineStr">
        <is>
          <t>Shopping</t>
        </is>
      </c>
      <c r="D62" s="128" t="inlineStr">
        <is>
          <t>Expense</t>
        </is>
      </c>
      <c r="E62" s="129" t="n">
        <v>1240</v>
      </c>
      <c r="F62" s="128" t="inlineStr">
        <is>
          <t>Credit Card</t>
        </is>
      </c>
      <c r="G62" s="127" t="n"/>
    </row>
    <row r="63" ht="15" customHeight="1" s="77">
      <c r="A63" s="126" t="n">
        <v>45957</v>
      </c>
      <c r="B63" s="127" t="inlineStr">
        <is>
          <t>WalterMart groceries</t>
        </is>
      </c>
      <c r="C63" s="127" t="inlineStr">
        <is>
          <t>Groceries</t>
        </is>
      </c>
      <c r="D63" s="128" t="inlineStr">
        <is>
          <t>Expense</t>
        </is>
      </c>
      <c r="E63" s="129" t="n">
        <v>1699</v>
      </c>
      <c r="F63" s="128" t="inlineStr">
        <is>
          <t>GCash</t>
        </is>
      </c>
      <c r="G63" s="127" t="n"/>
    </row>
    <row r="64" ht="15" customHeight="1" s="77">
      <c r="A64" s="126" t="n">
        <v>45957</v>
      </c>
      <c r="B64" s="127" t="inlineStr">
        <is>
          <t>Angkas to Makati</t>
        </is>
      </c>
      <c r="C64" s="127" t="inlineStr">
        <is>
          <t>Transportation</t>
        </is>
      </c>
      <c r="D64" s="128" t="inlineStr">
        <is>
          <t>Expense</t>
        </is>
      </c>
      <c r="E64" s="129" t="n">
        <v>752</v>
      </c>
      <c r="F64" s="128" t="inlineStr">
        <is>
          <t>GCash</t>
        </is>
      </c>
      <c r="G64" s="127" t="n"/>
    </row>
    <row r="65" ht="15" customHeight="1" s="77">
      <c r="A65" s="126" t="n">
        <v>45962</v>
      </c>
      <c r="B65" s="127" t="inlineStr">
        <is>
          <t>Apartment rent</t>
        </is>
      </c>
      <c r="C65" s="127" t="inlineStr">
        <is>
          <t>Housing</t>
        </is>
      </c>
      <c r="D65" s="128" t="inlineStr">
        <is>
          <t>Expense</t>
        </is>
      </c>
      <c r="E65" s="129" t="n">
        <v>18000</v>
      </c>
      <c r="F65" s="128" t="inlineStr">
        <is>
          <t>BPI Checking</t>
        </is>
      </c>
      <c r="G65" s="127" t="n"/>
    </row>
    <row r="66" ht="15" customHeight="1" s="77">
      <c r="A66" s="126" t="n">
        <v>45963</v>
      </c>
      <c r="B66" s="127" t="inlineStr">
        <is>
          <t>Anytime Fitness membership</t>
        </is>
      </c>
      <c r="C66" s="127" t="inlineStr">
        <is>
          <t>Health &amp; Fitness</t>
        </is>
      </c>
      <c r="D66" s="128" t="inlineStr">
        <is>
          <t>Expense</t>
        </is>
      </c>
      <c r="E66" s="129" t="n">
        <v>1500</v>
      </c>
      <c r="F66" s="128" t="inlineStr">
        <is>
          <t>Credit Card</t>
        </is>
      </c>
      <c r="G66" s="127" t="n"/>
    </row>
    <row r="67" ht="15" customHeight="1" s="77">
      <c r="A67" s="126" t="n">
        <v>45964</v>
      </c>
      <c r="B67" s="127" t="inlineStr">
        <is>
          <t>Netflix</t>
        </is>
      </c>
      <c r="C67" s="127" t="inlineStr">
        <is>
          <t>Subscriptions</t>
        </is>
      </c>
      <c r="D67" s="128" t="inlineStr">
        <is>
          <t>Expense</t>
        </is>
      </c>
      <c r="E67" s="129" t="n">
        <v>549</v>
      </c>
      <c r="F67" s="128" t="inlineStr">
        <is>
          <t>Credit Card</t>
        </is>
      </c>
      <c r="G67" s="127" t="n"/>
    </row>
    <row r="68" ht="15" customHeight="1" s="77">
      <c r="A68" s="126" t="n">
        <v>45964</v>
      </c>
      <c r="B68" s="127" t="inlineStr">
        <is>
          <t>Gas — Shell</t>
        </is>
      </c>
      <c r="C68" s="127" t="inlineStr">
        <is>
          <t>Transportation</t>
        </is>
      </c>
      <c r="D68" s="128" t="inlineStr">
        <is>
          <t>Expense</t>
        </is>
      </c>
      <c r="E68" s="129" t="n">
        <v>746</v>
      </c>
      <c r="F68" s="128" t="inlineStr">
        <is>
          <t>Cash</t>
        </is>
      </c>
      <c r="G68" s="127" t="n"/>
    </row>
    <row r="69" ht="15" customHeight="1" s="77">
      <c r="A69" s="126" t="n">
        <v>45966</v>
      </c>
      <c r="B69" s="127" t="inlineStr">
        <is>
          <t>Monthly salary — payroll</t>
        </is>
      </c>
      <c r="C69" s="127" t="inlineStr">
        <is>
          <t>Salary</t>
        </is>
      </c>
      <c r="D69" s="128" t="inlineStr">
        <is>
          <t>Income</t>
        </is>
      </c>
      <c r="E69" s="129" t="n">
        <v>72000</v>
      </c>
      <c r="F69" s="128" t="inlineStr">
        <is>
          <t>BPI Checking</t>
        </is>
      </c>
      <c r="G69" s="127" t="n"/>
    </row>
    <row r="70" ht="15" customHeight="1" s="77">
      <c r="A70" s="126" t="n">
        <v>45966</v>
      </c>
      <c r="B70" s="127" t="inlineStr">
        <is>
          <t>SM Supermarket run</t>
        </is>
      </c>
      <c r="C70" s="127" t="inlineStr">
        <is>
          <t>Groceries</t>
        </is>
      </c>
      <c r="D70" s="128" t="inlineStr">
        <is>
          <t>Expense</t>
        </is>
      </c>
      <c r="E70" s="129" t="n">
        <v>2036</v>
      </c>
      <c r="F70" s="128" t="inlineStr">
        <is>
          <t>Credit Card</t>
        </is>
      </c>
      <c r="G70" s="127" t="n"/>
    </row>
    <row r="71" ht="15" customHeight="1" s="77">
      <c r="A71" s="126" t="n">
        <v>45968</v>
      </c>
      <c r="B71" s="127" t="inlineStr">
        <is>
          <t>Spotify Premium</t>
        </is>
      </c>
      <c r="C71" s="127" t="inlineStr">
        <is>
          <t>Subscriptions</t>
        </is>
      </c>
      <c r="D71" s="128" t="inlineStr">
        <is>
          <t>Expense</t>
        </is>
      </c>
      <c r="E71" s="129" t="n">
        <v>194</v>
      </c>
      <c r="F71" s="128" t="inlineStr">
        <is>
          <t>Credit Card</t>
        </is>
      </c>
      <c r="G71" s="127" t="n"/>
    </row>
    <row r="72" ht="15" customHeight="1" s="77">
      <c r="A72" s="126" t="n">
        <v>45970</v>
      </c>
      <c r="B72" s="127" t="inlineStr">
        <is>
          <t>iCloud+ storage</t>
        </is>
      </c>
      <c r="C72" s="127" t="inlineStr">
        <is>
          <t>Subscriptions</t>
        </is>
      </c>
      <c r="D72" s="128" t="inlineStr">
        <is>
          <t>Expense</t>
        </is>
      </c>
      <c r="E72" s="129" t="n">
        <v>99</v>
      </c>
      <c r="F72" s="128" t="inlineStr">
        <is>
          <t>Credit Card</t>
        </is>
      </c>
      <c r="G72" s="127" t="n"/>
    </row>
    <row r="73" ht="15" customHeight="1" s="77">
      <c r="A73" s="126" t="n">
        <v>45970</v>
      </c>
      <c r="B73" s="127" t="inlineStr">
        <is>
          <t>Jollibee</t>
        </is>
      </c>
      <c r="C73" s="127" t="inlineStr">
        <is>
          <t>Dining Out</t>
        </is>
      </c>
      <c r="D73" s="128" t="inlineStr">
        <is>
          <t>Expense</t>
        </is>
      </c>
      <c r="E73" s="129" t="n">
        <v>411</v>
      </c>
      <c r="F73" s="128" t="inlineStr">
        <is>
          <t>GCash</t>
        </is>
      </c>
      <c r="G73" s="127" t="n"/>
    </row>
    <row r="74" ht="15" customHeight="1" s="77">
      <c r="A74" s="126" t="n">
        <v>45971</v>
      </c>
      <c r="B74" s="127" t="inlineStr">
        <is>
          <t>Meralco electricity</t>
        </is>
      </c>
      <c r="C74" s="127" t="inlineStr">
        <is>
          <t>Utilities</t>
        </is>
      </c>
      <c r="D74" s="128" t="inlineStr">
        <is>
          <t>Expense</t>
        </is>
      </c>
      <c r="E74" s="129" t="n">
        <v>3275</v>
      </c>
      <c r="F74" s="128" t="inlineStr">
        <is>
          <t>GCash</t>
        </is>
      </c>
      <c r="G74" s="127" t="n"/>
    </row>
    <row r="75" ht="15" customHeight="1" s="77">
      <c r="A75" s="126" t="n">
        <v>45971</v>
      </c>
      <c r="B75" s="127" t="inlineStr">
        <is>
          <t>Ramen — Mendokoro</t>
        </is>
      </c>
      <c r="C75" s="127" t="inlineStr">
        <is>
          <t>Dining Out</t>
        </is>
      </c>
      <c r="D75" s="128" t="inlineStr">
        <is>
          <t>Expense</t>
        </is>
      </c>
      <c r="E75" s="129" t="n">
        <v>779</v>
      </c>
      <c r="F75" s="128" t="inlineStr">
        <is>
          <t>Credit Card</t>
        </is>
      </c>
      <c r="G75" s="127" t="n"/>
    </row>
    <row r="76" ht="15" customHeight="1" s="77">
      <c r="A76" s="126" t="n">
        <v>45973</v>
      </c>
      <c r="B76" s="127" t="inlineStr">
        <is>
          <t>Manila Water</t>
        </is>
      </c>
      <c r="C76" s="127" t="inlineStr">
        <is>
          <t>Utilities</t>
        </is>
      </c>
      <c r="D76" s="128" t="inlineStr">
        <is>
          <t>Expense</t>
        </is>
      </c>
      <c r="E76" s="129" t="n">
        <v>405</v>
      </c>
      <c r="F76" s="128" t="inlineStr">
        <is>
          <t>GCash</t>
        </is>
      </c>
      <c r="G76" s="127" t="n"/>
    </row>
    <row r="77" ht="15" customHeight="1" s="77">
      <c r="A77" s="126" t="n">
        <v>45975</v>
      </c>
      <c r="B77" s="127" t="inlineStr">
        <is>
          <t>Cinema — SM North EDSA</t>
        </is>
      </c>
      <c r="C77" s="127" t="inlineStr">
        <is>
          <t>Entertainment</t>
        </is>
      </c>
      <c r="D77" s="128" t="inlineStr">
        <is>
          <t>Expense</t>
        </is>
      </c>
      <c r="E77" s="129" t="n">
        <v>1149</v>
      </c>
      <c r="F77" s="128" t="inlineStr">
        <is>
          <t>Credit Card</t>
        </is>
      </c>
      <c r="G77" s="127" t="n"/>
    </row>
    <row r="78" ht="15" customHeight="1" s="77">
      <c r="A78" s="126" t="n">
        <v>45976</v>
      </c>
      <c r="B78" s="127" t="inlineStr">
        <is>
          <t>PLDT Home Fibr</t>
        </is>
      </c>
      <c r="C78" s="127" t="inlineStr">
        <is>
          <t>Utilities</t>
        </is>
      </c>
      <c r="D78" s="128" t="inlineStr">
        <is>
          <t>Expense</t>
        </is>
      </c>
      <c r="E78" s="129" t="n">
        <v>1699</v>
      </c>
      <c r="F78" s="128" t="inlineStr">
        <is>
          <t>Credit Card</t>
        </is>
      </c>
      <c r="G78" s="127" t="n"/>
    </row>
    <row r="79" ht="15" customHeight="1" s="77">
      <c r="A79" s="126" t="n">
        <v>45976</v>
      </c>
      <c r="B79" s="127" t="inlineStr">
        <is>
          <t>Beep card top-up</t>
        </is>
      </c>
      <c r="C79" s="127" t="inlineStr">
        <is>
          <t>Transportation</t>
        </is>
      </c>
      <c r="D79" s="128" t="inlineStr">
        <is>
          <t>Expense</t>
        </is>
      </c>
      <c r="E79" s="129" t="n">
        <v>600</v>
      </c>
      <c r="F79" s="128" t="inlineStr">
        <is>
          <t>Cash</t>
        </is>
      </c>
      <c r="G79" s="127" t="n"/>
    </row>
    <row r="80" ht="15" customHeight="1" s="77">
      <c r="A80" s="126" t="n">
        <v>45979</v>
      </c>
      <c r="B80" s="127" t="inlineStr">
        <is>
          <t>Ramen — Mendokoro</t>
        </is>
      </c>
      <c r="C80" s="127" t="inlineStr">
        <is>
          <t>Dining Out</t>
        </is>
      </c>
      <c r="D80" s="128" t="inlineStr">
        <is>
          <t>Expense</t>
        </is>
      </c>
      <c r="E80" s="129" t="n">
        <v>1388</v>
      </c>
      <c r="F80" s="128" t="inlineStr">
        <is>
          <t>GCash</t>
        </is>
      </c>
      <c r="G80" s="127" t="n"/>
    </row>
    <row r="81" ht="15" customHeight="1" s="77">
      <c r="A81" s="126" t="n">
        <v>45984</v>
      </c>
      <c r="B81" s="127" t="inlineStr">
        <is>
          <t>Beep card top-up</t>
        </is>
      </c>
      <c r="C81" s="127" t="inlineStr">
        <is>
          <t>Transportation</t>
        </is>
      </c>
      <c r="D81" s="128" t="inlineStr">
        <is>
          <t>Expense</t>
        </is>
      </c>
      <c r="E81" s="129" t="n">
        <v>418</v>
      </c>
      <c r="F81" s="128" t="inlineStr">
        <is>
          <t>Cash</t>
        </is>
      </c>
      <c r="G81" s="127" t="n"/>
    </row>
    <row r="82" ht="15" customHeight="1" s="77">
      <c r="A82" s="126" t="n">
        <v>45985</v>
      </c>
      <c r="B82" s="127" t="inlineStr">
        <is>
          <t>Freelance — logo project</t>
        </is>
      </c>
      <c r="C82" s="127" t="inlineStr">
        <is>
          <t>Freelance</t>
        </is>
      </c>
      <c r="D82" s="128" t="inlineStr">
        <is>
          <t>Income</t>
        </is>
      </c>
      <c r="E82" s="129" t="n">
        <v>6000</v>
      </c>
      <c r="F82" s="128" t="inlineStr">
        <is>
          <t>GCash</t>
        </is>
      </c>
      <c r="G82" s="127" t="n"/>
    </row>
    <row r="83" ht="15" customHeight="1" s="77">
      <c r="A83" s="126" t="n">
        <v>45986</v>
      </c>
      <c r="B83" s="127" t="inlineStr">
        <is>
          <t>Landers grocery haul</t>
        </is>
      </c>
      <c r="C83" s="127" t="inlineStr">
        <is>
          <t>Groceries</t>
        </is>
      </c>
      <c r="D83" s="128" t="inlineStr">
        <is>
          <t>Expense</t>
        </is>
      </c>
      <c r="E83" s="129" t="n">
        <v>1677</v>
      </c>
      <c r="F83" s="128" t="inlineStr">
        <is>
          <t>Cash</t>
        </is>
      </c>
      <c r="G83" s="127" t="n"/>
    </row>
    <row r="84" ht="15" customHeight="1" s="77">
      <c r="A84" s="126" t="n">
        <v>45987</v>
      </c>
      <c r="B84" s="127" t="inlineStr">
        <is>
          <t>SM Supermarket run</t>
        </is>
      </c>
      <c r="C84" s="127" t="inlineStr">
        <is>
          <t>Groceries</t>
        </is>
      </c>
      <c r="D84" s="128" t="inlineStr">
        <is>
          <t>Expense</t>
        </is>
      </c>
      <c r="E84" s="129" t="n">
        <v>1892</v>
      </c>
      <c r="F84" s="128" t="inlineStr">
        <is>
          <t>Cash</t>
        </is>
      </c>
      <c r="G84" s="127" t="n"/>
    </row>
    <row r="85" ht="15" customHeight="1" s="77">
      <c r="A85" s="126" t="n">
        <v>45987</v>
      </c>
      <c r="B85" s="127" t="inlineStr">
        <is>
          <t>Uniqlo</t>
        </is>
      </c>
      <c r="C85" s="127" t="inlineStr">
        <is>
          <t>Shopping</t>
        </is>
      </c>
      <c r="D85" s="128" t="inlineStr">
        <is>
          <t>Expense</t>
        </is>
      </c>
      <c r="E85" s="129" t="n">
        <v>3092</v>
      </c>
      <c r="F85" s="128" t="inlineStr">
        <is>
          <t>GCash</t>
        </is>
      </c>
      <c r="G85" s="127" t="n"/>
    </row>
    <row r="86" ht="15" customHeight="1" s="77">
      <c r="A86" s="126" t="n">
        <v>45992</v>
      </c>
      <c r="B86" s="127" t="inlineStr">
        <is>
          <t>Apartment rent</t>
        </is>
      </c>
      <c r="C86" s="127" t="inlineStr">
        <is>
          <t>Housing</t>
        </is>
      </c>
      <c r="D86" s="128" t="inlineStr">
        <is>
          <t>Expense</t>
        </is>
      </c>
      <c r="E86" s="129" t="n">
        <v>18000</v>
      </c>
      <c r="F86" s="128" t="inlineStr">
        <is>
          <t>BPI Checking</t>
        </is>
      </c>
      <c r="G86" s="127" t="n"/>
    </row>
    <row r="87" ht="15" customHeight="1" s="77">
      <c r="A87" s="126" t="n">
        <v>45993</v>
      </c>
      <c r="B87" s="127" t="inlineStr">
        <is>
          <t>Anytime Fitness membership</t>
        </is>
      </c>
      <c r="C87" s="127" t="inlineStr">
        <is>
          <t>Health &amp; Fitness</t>
        </is>
      </c>
      <c r="D87" s="128" t="inlineStr">
        <is>
          <t>Expense</t>
        </is>
      </c>
      <c r="E87" s="129" t="n">
        <v>1500</v>
      </c>
      <c r="F87" s="128" t="inlineStr">
        <is>
          <t>Credit Card</t>
        </is>
      </c>
      <c r="G87" s="127" t="n"/>
    </row>
    <row r="88" ht="15" customHeight="1" s="77">
      <c r="A88" s="126" t="n">
        <v>45993</v>
      </c>
      <c r="B88" s="127" t="inlineStr">
        <is>
          <t>Puregold groceries</t>
        </is>
      </c>
      <c r="C88" s="127" t="inlineStr">
        <is>
          <t>Groceries</t>
        </is>
      </c>
      <c r="D88" s="128" t="inlineStr">
        <is>
          <t>Expense</t>
        </is>
      </c>
      <c r="E88" s="129" t="n">
        <v>3161</v>
      </c>
      <c r="F88" s="128" t="inlineStr">
        <is>
          <t>Credit Card</t>
        </is>
      </c>
      <c r="G88" s="127" t="n"/>
    </row>
    <row r="89" ht="15" customHeight="1" s="77">
      <c r="A89" s="126" t="n">
        <v>45994</v>
      </c>
      <c r="B89" s="127" t="inlineStr">
        <is>
          <t>Netflix</t>
        </is>
      </c>
      <c r="C89" s="127" t="inlineStr">
        <is>
          <t>Subscriptions</t>
        </is>
      </c>
      <c r="D89" s="128" t="inlineStr">
        <is>
          <t>Expense</t>
        </is>
      </c>
      <c r="E89" s="129" t="n">
        <v>549</v>
      </c>
      <c r="F89" s="128" t="inlineStr">
        <is>
          <t>Credit Card</t>
        </is>
      </c>
      <c r="G89" s="127" t="n"/>
    </row>
    <row r="90" ht="15" customHeight="1" s="77">
      <c r="A90" s="126" t="n">
        <v>45996</v>
      </c>
      <c r="B90" s="127" t="inlineStr">
        <is>
          <t>Monthly salary — payroll</t>
        </is>
      </c>
      <c r="C90" s="127" t="inlineStr">
        <is>
          <t>Salary</t>
        </is>
      </c>
      <c r="D90" s="128" t="inlineStr">
        <is>
          <t>Income</t>
        </is>
      </c>
      <c r="E90" s="129" t="n">
        <v>72000</v>
      </c>
      <c r="F90" s="128" t="inlineStr">
        <is>
          <t>BPI Checking</t>
        </is>
      </c>
      <c r="G90" s="127" t="n"/>
    </row>
    <row r="91" ht="15" customHeight="1" s="77">
      <c r="A91" s="126" t="n">
        <v>45996</v>
      </c>
      <c r="B91" s="127" t="inlineStr">
        <is>
          <t>Steam game</t>
        </is>
      </c>
      <c r="C91" s="127" t="inlineStr">
        <is>
          <t>Entertainment</t>
        </is>
      </c>
      <c r="D91" s="128" t="inlineStr">
        <is>
          <t>Expense</t>
        </is>
      </c>
      <c r="E91" s="129" t="n">
        <v>1131</v>
      </c>
      <c r="F91" s="128" t="inlineStr">
        <is>
          <t>Credit Card</t>
        </is>
      </c>
      <c r="G91" s="127" t="n"/>
    </row>
    <row r="92" ht="15" customHeight="1" s="77">
      <c r="A92" s="126" t="n">
        <v>45998</v>
      </c>
      <c r="B92" s="127" t="inlineStr">
        <is>
          <t>Spotify Premium</t>
        </is>
      </c>
      <c r="C92" s="127" t="inlineStr">
        <is>
          <t>Subscriptions</t>
        </is>
      </c>
      <c r="D92" s="128" t="inlineStr">
        <is>
          <t>Expense</t>
        </is>
      </c>
      <c r="E92" s="129" t="n">
        <v>194</v>
      </c>
      <c r="F92" s="128" t="inlineStr">
        <is>
          <t>Credit Card</t>
        </is>
      </c>
      <c r="G92" s="127" t="n"/>
    </row>
    <row r="93" ht="15" customHeight="1" s="77">
      <c r="A93" s="126" t="n">
        <v>45999</v>
      </c>
      <c r="B93" s="127" t="inlineStr">
        <is>
          <t>Ramen — Mendokoro</t>
        </is>
      </c>
      <c r="C93" s="127" t="inlineStr">
        <is>
          <t>Dining Out</t>
        </is>
      </c>
      <c r="D93" s="128" t="inlineStr">
        <is>
          <t>Expense</t>
        </is>
      </c>
      <c r="E93" s="129" t="n">
        <v>895</v>
      </c>
      <c r="F93" s="128" t="inlineStr">
        <is>
          <t>Credit Card</t>
        </is>
      </c>
      <c r="G93" s="127" t="n"/>
    </row>
    <row r="94" ht="15" customHeight="1" s="77">
      <c r="A94" s="126" t="n">
        <v>46000</v>
      </c>
      <c r="B94" s="127" t="inlineStr">
        <is>
          <t>iCloud+ storage</t>
        </is>
      </c>
      <c r="C94" s="127" t="inlineStr">
        <is>
          <t>Subscriptions</t>
        </is>
      </c>
      <c r="D94" s="128" t="inlineStr">
        <is>
          <t>Expense</t>
        </is>
      </c>
      <c r="E94" s="129" t="n">
        <v>99</v>
      </c>
      <c r="F94" s="128" t="inlineStr">
        <is>
          <t>Credit Card</t>
        </is>
      </c>
      <c r="G94" s="127" t="n"/>
    </row>
    <row r="95" ht="15" customHeight="1" s="77">
      <c r="A95" s="126" t="n">
        <v>46001</v>
      </c>
      <c r="B95" s="127" t="inlineStr">
        <is>
          <t>Meralco electricity</t>
        </is>
      </c>
      <c r="C95" s="127" t="inlineStr">
        <is>
          <t>Utilities</t>
        </is>
      </c>
      <c r="D95" s="128" t="inlineStr">
        <is>
          <t>Expense</t>
        </is>
      </c>
      <c r="E95" s="129" t="n">
        <v>3363</v>
      </c>
      <c r="F95" s="128" t="inlineStr">
        <is>
          <t>GCash</t>
        </is>
      </c>
      <c r="G95" s="127" t="n"/>
    </row>
    <row r="96" ht="15" customHeight="1" s="77">
      <c r="A96" s="126" t="n">
        <v>46001</v>
      </c>
      <c r="B96" s="127" t="inlineStr">
        <is>
          <t>Jollibee</t>
        </is>
      </c>
      <c r="C96" s="127" t="inlineStr">
        <is>
          <t>Dining Out</t>
        </is>
      </c>
      <c r="D96" s="128" t="inlineStr">
        <is>
          <t>Expense</t>
        </is>
      </c>
      <c r="E96" s="129" t="n">
        <v>1387</v>
      </c>
      <c r="F96" s="128" t="inlineStr">
        <is>
          <t>Credit Card</t>
        </is>
      </c>
      <c r="G96" s="127" t="n"/>
    </row>
    <row r="97" ht="15" customHeight="1" s="77">
      <c r="A97" s="126" t="n">
        <v>46003</v>
      </c>
      <c r="B97" s="127" t="inlineStr">
        <is>
          <t>Manila Water</t>
        </is>
      </c>
      <c r="C97" s="127" t="inlineStr">
        <is>
          <t>Utilities</t>
        </is>
      </c>
      <c r="D97" s="128" t="inlineStr">
        <is>
          <t>Expense</t>
        </is>
      </c>
      <c r="E97" s="129" t="n">
        <v>444</v>
      </c>
      <c r="F97" s="128" t="inlineStr">
        <is>
          <t>GCash</t>
        </is>
      </c>
      <c r="G97" s="127" t="n"/>
    </row>
    <row r="98" ht="15" customHeight="1" s="77">
      <c r="A98" s="126" t="n">
        <v>46006</v>
      </c>
      <c r="B98" s="127" t="inlineStr">
        <is>
          <t>PLDT Home Fibr</t>
        </is>
      </c>
      <c r="C98" s="127" t="inlineStr">
        <is>
          <t>Utilities</t>
        </is>
      </c>
      <c r="D98" s="128" t="inlineStr">
        <is>
          <t>Expense</t>
        </is>
      </c>
      <c r="E98" s="129" t="n">
        <v>1699</v>
      </c>
      <c r="F98" s="128" t="inlineStr">
        <is>
          <t>Credit Card</t>
        </is>
      </c>
      <c r="G98" s="127" t="n"/>
    </row>
    <row r="99" ht="15" customHeight="1" s="77">
      <c r="A99" s="126" t="n">
        <v>46007</v>
      </c>
      <c r="B99" s="127" t="inlineStr">
        <is>
          <t>Puregold groceries</t>
        </is>
      </c>
      <c r="C99" s="127" t="inlineStr">
        <is>
          <t>Groceries</t>
        </is>
      </c>
      <c r="D99" s="128" t="inlineStr">
        <is>
          <t>Expense</t>
        </is>
      </c>
      <c r="E99" s="129" t="n">
        <v>1793</v>
      </c>
      <c r="F99" s="128" t="inlineStr">
        <is>
          <t>Credit Card</t>
        </is>
      </c>
      <c r="G99" s="127" t="n"/>
    </row>
    <row r="100" ht="15" customHeight="1" s="77">
      <c r="A100" s="126" t="n">
        <v>46007</v>
      </c>
      <c r="B100" s="127" t="inlineStr">
        <is>
          <t>Mercury Drug</t>
        </is>
      </c>
      <c r="C100" s="127" t="inlineStr">
        <is>
          <t>Health &amp; Fitness</t>
        </is>
      </c>
      <c r="D100" s="128" t="inlineStr">
        <is>
          <t>Expense</t>
        </is>
      </c>
      <c r="E100" s="129" t="n">
        <v>1491</v>
      </c>
      <c r="F100" s="128" t="inlineStr">
        <is>
          <t>Cash</t>
        </is>
      </c>
      <c r="G100" s="127" t="n"/>
    </row>
    <row r="101" ht="15" customHeight="1" s="77">
      <c r="A101" s="126" t="n">
        <v>46008</v>
      </c>
      <c r="B101" s="127" t="inlineStr">
        <is>
          <t>Ramen — Mendokoro</t>
        </is>
      </c>
      <c r="C101" s="127" t="inlineStr">
        <is>
          <t>Dining Out</t>
        </is>
      </c>
      <c r="D101" s="128" t="inlineStr">
        <is>
          <t>Expense</t>
        </is>
      </c>
      <c r="E101" s="129" t="n">
        <v>1394</v>
      </c>
      <c r="F101" s="128" t="inlineStr">
        <is>
          <t>Credit Card</t>
        </is>
      </c>
      <c r="G101" s="127" t="n"/>
    </row>
    <row r="102" ht="15" customHeight="1" s="77">
      <c r="A102" s="126" t="n">
        <v>46009</v>
      </c>
      <c r="B102" s="127" t="inlineStr">
        <is>
          <t>Freelance — logo project</t>
        </is>
      </c>
      <c r="C102" s="127" t="inlineStr">
        <is>
          <t>Freelance</t>
        </is>
      </c>
      <c r="D102" s="128" t="inlineStr">
        <is>
          <t>Income</t>
        </is>
      </c>
      <c r="E102" s="129" t="n">
        <v>9500</v>
      </c>
      <c r="F102" s="128" t="inlineStr">
        <is>
          <t>GCash</t>
        </is>
      </c>
      <c r="G102" s="127" t="n"/>
    </row>
    <row r="103" ht="15" customHeight="1" s="77">
      <c r="A103" s="126" t="n">
        <v>46009</v>
      </c>
      <c r="B103" s="127" t="inlineStr">
        <is>
          <t>WalterMart groceries</t>
        </is>
      </c>
      <c r="C103" s="127" t="inlineStr">
        <is>
          <t>Groceries</t>
        </is>
      </c>
      <c r="D103" s="128" t="inlineStr">
        <is>
          <t>Expense</t>
        </is>
      </c>
      <c r="E103" s="129" t="n">
        <v>3021</v>
      </c>
      <c r="F103" s="128" t="inlineStr">
        <is>
          <t>Cash</t>
        </is>
      </c>
      <c r="G103" s="127" t="n"/>
    </row>
    <row r="104" ht="15" customHeight="1" s="77">
      <c r="A104" s="126" t="n">
        <v>46014</v>
      </c>
      <c r="B104" s="127" t="inlineStr">
        <is>
          <t>Grab rides</t>
        </is>
      </c>
      <c r="C104" s="127" t="inlineStr">
        <is>
          <t>Transportation</t>
        </is>
      </c>
      <c r="D104" s="128" t="inlineStr">
        <is>
          <t>Expense</t>
        </is>
      </c>
      <c r="E104" s="129" t="n">
        <v>612</v>
      </c>
      <c r="F104" s="128" t="inlineStr">
        <is>
          <t>Cash</t>
        </is>
      </c>
      <c r="G104" s="127" t="n"/>
    </row>
    <row r="105" ht="15" customHeight="1" s="77">
      <c r="A105" s="126" t="n">
        <v>46016</v>
      </c>
      <c r="B105" s="127" t="inlineStr">
        <is>
          <t>Grab rides</t>
        </is>
      </c>
      <c r="C105" s="127" t="inlineStr">
        <is>
          <t>Transportation</t>
        </is>
      </c>
      <c r="D105" s="128" t="inlineStr">
        <is>
          <t>Expense</t>
        </is>
      </c>
      <c r="E105" s="129" t="n">
        <v>387</v>
      </c>
      <c r="F105" s="128" t="inlineStr">
        <is>
          <t>GCash</t>
        </is>
      </c>
      <c r="G105" s="127" t="n"/>
    </row>
    <row r="106" ht="15" customHeight="1" s="77">
      <c r="A106" s="126" t="n">
        <v>46016</v>
      </c>
      <c r="B106" s="127" t="inlineStr">
        <is>
          <t>Concert ticket (split)</t>
        </is>
      </c>
      <c r="C106" s="127" t="inlineStr">
        <is>
          <t>Entertainment</t>
        </is>
      </c>
      <c r="D106" s="128" t="inlineStr">
        <is>
          <t>Expense</t>
        </is>
      </c>
      <c r="E106" s="129" t="n">
        <v>929</v>
      </c>
      <c r="F106" s="128" t="inlineStr">
        <is>
          <t>GCash</t>
        </is>
      </c>
      <c r="G106" s="127" t="n"/>
    </row>
    <row r="107" ht="15" customHeight="1" s="77">
      <c r="A107" s="126" t="n">
        <v>46017</v>
      </c>
      <c r="B107" s="127" t="inlineStr">
        <is>
          <t>Grab rides</t>
        </is>
      </c>
      <c r="C107" s="127" t="inlineStr">
        <is>
          <t>Transportation</t>
        </is>
      </c>
      <c r="D107" s="128" t="inlineStr">
        <is>
          <t>Expense</t>
        </is>
      </c>
      <c r="E107" s="129" t="n">
        <v>251</v>
      </c>
      <c r="F107" s="128" t="inlineStr">
        <is>
          <t>Cash</t>
        </is>
      </c>
      <c r="G107" s="127" t="n"/>
    </row>
    <row r="108" ht="15" customHeight="1" s="77">
      <c r="A108" s="126" t="n">
        <v>46023</v>
      </c>
      <c r="B108" s="127" t="inlineStr">
        <is>
          <t>Apartment rent</t>
        </is>
      </c>
      <c r="C108" s="127" t="inlineStr">
        <is>
          <t>Housing</t>
        </is>
      </c>
      <c r="D108" s="128" t="inlineStr">
        <is>
          <t>Expense</t>
        </is>
      </c>
      <c r="E108" s="129" t="n">
        <v>18000</v>
      </c>
      <c r="F108" s="128" t="inlineStr">
        <is>
          <t>BPI Checking</t>
        </is>
      </c>
      <c r="G108" s="127" t="n"/>
    </row>
    <row r="109" ht="15" customHeight="1" s="77">
      <c r="A109" s="126" t="n">
        <v>46024</v>
      </c>
      <c r="B109" s="127" t="inlineStr">
        <is>
          <t>Anytime Fitness membership</t>
        </is>
      </c>
      <c r="C109" s="127" t="inlineStr">
        <is>
          <t>Health &amp; Fitness</t>
        </is>
      </c>
      <c r="D109" s="128" t="inlineStr">
        <is>
          <t>Expense</t>
        </is>
      </c>
      <c r="E109" s="129" t="n">
        <v>1500</v>
      </c>
      <c r="F109" s="128" t="inlineStr">
        <is>
          <t>Credit Card</t>
        </is>
      </c>
      <c r="G109" s="127" t="n"/>
    </row>
    <row r="110" ht="15" customHeight="1" s="77">
      <c r="A110" s="126" t="n">
        <v>46025</v>
      </c>
      <c r="B110" s="127" t="inlineStr">
        <is>
          <t>Netflix</t>
        </is>
      </c>
      <c r="C110" s="127" t="inlineStr">
        <is>
          <t>Subscriptions</t>
        </is>
      </c>
      <c r="D110" s="128" t="inlineStr">
        <is>
          <t>Expense</t>
        </is>
      </c>
      <c r="E110" s="129" t="n">
        <v>549</v>
      </c>
      <c r="F110" s="128" t="inlineStr">
        <is>
          <t>Credit Card</t>
        </is>
      </c>
      <c r="G110" s="127" t="n"/>
    </row>
    <row r="111" ht="15" customHeight="1" s="77">
      <c r="A111" s="126" t="n">
        <v>46025</v>
      </c>
      <c r="B111" s="127" t="inlineStr">
        <is>
          <t>Gift + card</t>
        </is>
      </c>
      <c r="C111" s="127" t="inlineStr">
        <is>
          <t>Miscellaneous</t>
        </is>
      </c>
      <c r="D111" s="128" t="inlineStr">
        <is>
          <t>Expense</t>
        </is>
      </c>
      <c r="E111" s="129" t="n">
        <v>299</v>
      </c>
      <c r="F111" s="128" t="inlineStr">
        <is>
          <t>Cash</t>
        </is>
      </c>
      <c r="G111" s="127" t="n"/>
    </row>
    <row r="112" ht="15" customHeight="1" s="77">
      <c r="A112" s="126" t="n">
        <v>46027</v>
      </c>
      <c r="B112" s="127" t="inlineStr">
        <is>
          <t>Monthly salary — payroll</t>
        </is>
      </c>
      <c r="C112" s="127" t="inlineStr">
        <is>
          <t>Salary</t>
        </is>
      </c>
      <c r="D112" s="128" t="inlineStr">
        <is>
          <t>Income</t>
        </is>
      </c>
      <c r="E112" s="129" t="n">
        <v>72000</v>
      </c>
      <c r="F112" s="128" t="inlineStr">
        <is>
          <t>BPI Checking</t>
        </is>
      </c>
      <c r="G112" s="127" t="n"/>
    </row>
    <row r="113" ht="15" customHeight="1" s="77">
      <c r="A113" s="126" t="n">
        <v>46029</v>
      </c>
      <c r="B113" s="127" t="inlineStr">
        <is>
          <t>Spotify Premium</t>
        </is>
      </c>
      <c r="C113" s="127" t="inlineStr">
        <is>
          <t>Subscriptions</t>
        </is>
      </c>
      <c r="D113" s="128" t="inlineStr">
        <is>
          <t>Expense</t>
        </is>
      </c>
      <c r="E113" s="129" t="n">
        <v>194</v>
      </c>
      <c r="F113" s="128" t="inlineStr">
        <is>
          <t>Credit Card</t>
        </is>
      </c>
      <c r="G113" s="127" t="n"/>
    </row>
    <row r="114" ht="15" customHeight="1" s="77">
      <c r="A114" s="126" t="n">
        <v>46029</v>
      </c>
      <c r="B114" s="127" t="inlineStr">
        <is>
          <t>Grab rides</t>
        </is>
      </c>
      <c r="C114" s="127" t="inlineStr">
        <is>
          <t>Transportation</t>
        </is>
      </c>
      <c r="D114" s="128" t="inlineStr">
        <is>
          <t>Expense</t>
        </is>
      </c>
      <c r="E114" s="129" t="n">
        <v>533</v>
      </c>
      <c r="F114" s="128" t="inlineStr">
        <is>
          <t>Cash</t>
        </is>
      </c>
      <c r="G114" s="127" t="n"/>
    </row>
    <row r="115" ht="15" customHeight="1" s="77">
      <c r="A115" s="126" t="n">
        <v>46029</v>
      </c>
      <c r="B115" s="127" t="inlineStr">
        <is>
          <t>Coffee — % Arabica</t>
        </is>
      </c>
      <c r="C115" s="127" t="inlineStr">
        <is>
          <t>Dining Out</t>
        </is>
      </c>
      <c r="D115" s="128" t="inlineStr">
        <is>
          <t>Expense</t>
        </is>
      </c>
      <c r="E115" s="129" t="n">
        <v>1224</v>
      </c>
      <c r="F115" s="128" t="inlineStr">
        <is>
          <t>GCash</t>
        </is>
      </c>
      <c r="G115" s="127" t="n"/>
    </row>
    <row r="116" ht="15" customHeight="1" s="77">
      <c r="A116" s="126" t="n">
        <v>46031</v>
      </c>
      <c r="B116" s="127" t="inlineStr">
        <is>
          <t>iCloud+ storage</t>
        </is>
      </c>
      <c r="C116" s="127" t="inlineStr">
        <is>
          <t>Subscriptions</t>
        </is>
      </c>
      <c r="D116" s="128" t="inlineStr">
        <is>
          <t>Expense</t>
        </is>
      </c>
      <c r="E116" s="129" t="n">
        <v>99</v>
      </c>
      <c r="F116" s="128" t="inlineStr">
        <is>
          <t>Credit Card</t>
        </is>
      </c>
      <c r="G116" s="127" t="n"/>
    </row>
    <row r="117" ht="15" customHeight="1" s="77">
      <c r="A117" s="126" t="n">
        <v>46032</v>
      </c>
      <c r="B117" s="127" t="inlineStr">
        <is>
          <t>Meralco electricity</t>
        </is>
      </c>
      <c r="C117" s="127" t="inlineStr">
        <is>
          <t>Utilities</t>
        </is>
      </c>
      <c r="D117" s="128" t="inlineStr">
        <is>
          <t>Expense</t>
        </is>
      </c>
      <c r="E117" s="129" t="n">
        <v>3405</v>
      </c>
      <c r="F117" s="128" t="inlineStr">
        <is>
          <t>GCash</t>
        </is>
      </c>
      <c r="G117" s="127" t="n"/>
    </row>
    <row r="118" ht="15" customHeight="1" s="77">
      <c r="A118" s="126" t="n">
        <v>46033</v>
      </c>
      <c r="B118" s="127" t="inlineStr">
        <is>
          <t>Landers grocery haul</t>
        </is>
      </c>
      <c r="C118" s="127" t="inlineStr">
        <is>
          <t>Groceries</t>
        </is>
      </c>
      <c r="D118" s="128" t="inlineStr">
        <is>
          <t>Expense</t>
        </is>
      </c>
      <c r="E118" s="129" t="n">
        <v>3036</v>
      </c>
      <c r="F118" s="128" t="inlineStr">
        <is>
          <t>GCash</t>
        </is>
      </c>
      <c r="G118" s="127" t="n"/>
    </row>
    <row r="119" ht="15" customHeight="1" s="77">
      <c r="A119" s="126" t="n">
        <v>46033</v>
      </c>
      <c r="B119" s="127" t="inlineStr">
        <is>
          <t>Steam game</t>
        </is>
      </c>
      <c r="C119" s="127" t="inlineStr">
        <is>
          <t>Entertainment</t>
        </is>
      </c>
      <c r="D119" s="128" t="inlineStr">
        <is>
          <t>Expense</t>
        </is>
      </c>
      <c r="E119" s="129" t="n">
        <v>1007</v>
      </c>
      <c r="F119" s="128" t="inlineStr">
        <is>
          <t>Credit Card</t>
        </is>
      </c>
      <c r="G119" s="127" t="n"/>
    </row>
    <row r="120" ht="15" customHeight="1" s="77">
      <c r="A120" s="126" t="n">
        <v>46034</v>
      </c>
      <c r="B120" s="127" t="inlineStr">
        <is>
          <t>Manila Water</t>
        </is>
      </c>
      <c r="C120" s="127" t="inlineStr">
        <is>
          <t>Utilities</t>
        </is>
      </c>
      <c r="D120" s="128" t="inlineStr">
        <is>
          <t>Expense</t>
        </is>
      </c>
      <c r="E120" s="129" t="n">
        <v>538</v>
      </c>
      <c r="F120" s="128" t="inlineStr">
        <is>
          <t>GCash</t>
        </is>
      </c>
      <c r="G120" s="127" t="n"/>
    </row>
    <row r="121" ht="15" customHeight="1" s="77">
      <c r="A121" s="126" t="n">
        <v>46037</v>
      </c>
      <c r="B121" s="127" t="inlineStr">
        <is>
          <t>PLDT Home Fibr</t>
        </is>
      </c>
      <c r="C121" s="127" t="inlineStr">
        <is>
          <t>Utilities</t>
        </is>
      </c>
      <c r="D121" s="128" t="inlineStr">
        <is>
          <t>Expense</t>
        </is>
      </c>
      <c r="E121" s="129" t="n">
        <v>1699</v>
      </c>
      <c r="F121" s="128" t="inlineStr">
        <is>
          <t>Credit Card</t>
        </is>
      </c>
      <c r="G121" s="127" t="n"/>
    </row>
    <row r="122" ht="15" customHeight="1" s="77">
      <c r="A122" s="126" t="n">
        <v>46037</v>
      </c>
      <c r="B122" s="127" t="inlineStr">
        <is>
          <t>Milk tea run</t>
        </is>
      </c>
      <c r="C122" s="127" t="inlineStr">
        <is>
          <t>Dining Out</t>
        </is>
      </c>
      <c r="D122" s="128" t="inlineStr">
        <is>
          <t>Expense</t>
        </is>
      </c>
      <c r="E122" s="129" t="n">
        <v>783</v>
      </c>
      <c r="F122" s="128" t="inlineStr">
        <is>
          <t>GCash</t>
        </is>
      </c>
      <c r="G122" s="127" t="n"/>
    </row>
    <row r="123" ht="15" customHeight="1" s="77">
      <c r="A123" s="126" t="n">
        <v>46038</v>
      </c>
      <c r="B123" s="127" t="inlineStr">
        <is>
          <t>SM Supermarket run</t>
        </is>
      </c>
      <c r="C123" s="127" t="inlineStr">
        <is>
          <t>Groceries</t>
        </is>
      </c>
      <c r="D123" s="128" t="inlineStr">
        <is>
          <t>Expense</t>
        </is>
      </c>
      <c r="E123" s="129" t="n">
        <v>2515</v>
      </c>
      <c r="F123" s="128" t="inlineStr">
        <is>
          <t>GCash</t>
        </is>
      </c>
      <c r="G123" s="127" t="n"/>
    </row>
    <row r="124" ht="15" customHeight="1" s="77">
      <c r="A124" s="126" t="n">
        <v>46043</v>
      </c>
      <c r="B124" s="127" t="inlineStr">
        <is>
          <t>Beep card top-up</t>
        </is>
      </c>
      <c r="C124" s="127" t="inlineStr">
        <is>
          <t>Transportation</t>
        </is>
      </c>
      <c r="D124" s="128" t="inlineStr">
        <is>
          <t>Expense</t>
        </is>
      </c>
      <c r="E124" s="129" t="n">
        <v>833</v>
      </c>
      <c r="F124" s="128" t="inlineStr">
        <is>
          <t>Cash</t>
        </is>
      </c>
      <c r="G124" s="127" t="n"/>
    </row>
    <row r="125" ht="15" customHeight="1" s="77">
      <c r="A125" s="126" t="n">
        <v>46043</v>
      </c>
      <c r="B125" s="127" t="inlineStr">
        <is>
          <t>Cinema — SM North EDSA</t>
        </is>
      </c>
      <c r="C125" s="127" t="inlineStr">
        <is>
          <t>Entertainment</t>
        </is>
      </c>
      <c r="D125" s="128" t="inlineStr">
        <is>
          <t>Expense</t>
        </is>
      </c>
      <c r="E125" s="129" t="n">
        <v>914</v>
      </c>
      <c r="F125" s="128" t="inlineStr">
        <is>
          <t>GCash</t>
        </is>
      </c>
      <c r="G125" s="127" t="n"/>
    </row>
    <row r="126" ht="15" customHeight="1" s="77">
      <c r="A126" s="126" t="n">
        <v>46047</v>
      </c>
      <c r="B126" s="127" t="inlineStr">
        <is>
          <t>WalterMart groceries</t>
        </is>
      </c>
      <c r="C126" s="127" t="inlineStr">
        <is>
          <t>Groceries</t>
        </is>
      </c>
      <c r="D126" s="128" t="inlineStr">
        <is>
          <t>Expense</t>
        </is>
      </c>
      <c r="E126" s="129" t="n">
        <v>2586</v>
      </c>
      <c r="F126" s="128" t="inlineStr">
        <is>
          <t>Credit Card</t>
        </is>
      </c>
      <c r="G126" s="127" t="n"/>
    </row>
    <row r="127" ht="15" customHeight="1" s="77">
      <c r="A127" s="126" t="n">
        <v>46048</v>
      </c>
      <c r="B127" s="127" t="inlineStr">
        <is>
          <t>Grab rides</t>
        </is>
      </c>
      <c r="C127" s="127" t="inlineStr">
        <is>
          <t>Transportation</t>
        </is>
      </c>
      <c r="D127" s="128" t="inlineStr">
        <is>
          <t>Expense</t>
        </is>
      </c>
      <c r="E127" s="129" t="n">
        <v>358</v>
      </c>
      <c r="F127" s="128" t="inlineStr">
        <is>
          <t>GCash</t>
        </is>
      </c>
      <c r="G127" s="127" t="n"/>
    </row>
    <row r="128" ht="15" customHeight="1" s="77">
      <c r="A128" s="126" t="n">
        <v>46048</v>
      </c>
      <c r="B128" s="127" t="inlineStr">
        <is>
          <t>Samgyup night out</t>
        </is>
      </c>
      <c r="C128" s="127" t="inlineStr">
        <is>
          <t>Dining Out</t>
        </is>
      </c>
      <c r="D128" s="128" t="inlineStr">
        <is>
          <t>Expense</t>
        </is>
      </c>
      <c r="E128" s="129" t="n">
        <v>1321</v>
      </c>
      <c r="F128" s="128" t="inlineStr">
        <is>
          <t>Cash</t>
        </is>
      </c>
      <c r="G128" s="127" t="n"/>
    </row>
    <row r="129" ht="15" customHeight="1" s="77">
      <c r="A129" s="126" t="n">
        <v>46054</v>
      </c>
      <c r="B129" s="127" t="inlineStr">
        <is>
          <t>Apartment rent</t>
        </is>
      </c>
      <c r="C129" s="127" t="inlineStr">
        <is>
          <t>Housing</t>
        </is>
      </c>
      <c r="D129" s="128" t="inlineStr">
        <is>
          <t>Expense</t>
        </is>
      </c>
      <c r="E129" s="129" t="n">
        <v>18000</v>
      </c>
      <c r="F129" s="128" t="inlineStr">
        <is>
          <t>BPI Checking</t>
        </is>
      </c>
      <c r="G129" s="127" t="n"/>
    </row>
    <row r="130" ht="15" customHeight="1" s="77">
      <c r="A130" s="126" t="n">
        <v>46055</v>
      </c>
      <c r="B130" s="127" t="inlineStr">
        <is>
          <t>Anytime Fitness membership</t>
        </is>
      </c>
      <c r="C130" s="127" t="inlineStr">
        <is>
          <t>Health &amp; Fitness</t>
        </is>
      </c>
      <c r="D130" s="128" t="inlineStr">
        <is>
          <t>Expense</t>
        </is>
      </c>
      <c r="E130" s="129" t="n">
        <v>1500</v>
      </c>
      <c r="F130" s="128" t="inlineStr">
        <is>
          <t>Credit Card</t>
        </is>
      </c>
      <c r="G130" s="127" t="n"/>
    </row>
    <row r="131" ht="15" customHeight="1" s="77">
      <c r="A131" s="126" t="n">
        <v>46056</v>
      </c>
      <c r="B131" s="127" t="inlineStr">
        <is>
          <t>Netflix</t>
        </is>
      </c>
      <c r="C131" s="127" t="inlineStr">
        <is>
          <t>Subscriptions</t>
        </is>
      </c>
      <c r="D131" s="128" t="inlineStr">
        <is>
          <t>Expense</t>
        </is>
      </c>
      <c r="E131" s="129" t="n">
        <v>549</v>
      </c>
      <c r="F131" s="128" t="inlineStr">
        <is>
          <t>Credit Card</t>
        </is>
      </c>
      <c r="G131" s="127" t="n"/>
    </row>
    <row r="132" ht="15" customHeight="1" s="77">
      <c r="A132" s="126" t="n">
        <v>46056</v>
      </c>
      <c r="B132" s="127" t="inlineStr">
        <is>
          <t>Vitamins restock</t>
        </is>
      </c>
      <c r="C132" s="127" t="inlineStr">
        <is>
          <t>Health &amp; Fitness</t>
        </is>
      </c>
      <c r="D132" s="128" t="inlineStr">
        <is>
          <t>Expense</t>
        </is>
      </c>
      <c r="E132" s="129" t="n">
        <v>1665</v>
      </c>
      <c r="F132" s="128" t="inlineStr">
        <is>
          <t>GCash</t>
        </is>
      </c>
      <c r="G132" s="127" t="n"/>
    </row>
    <row r="133" ht="15" customHeight="1" s="77">
      <c r="A133" s="126" t="n">
        <v>46058</v>
      </c>
      <c r="B133" s="127" t="inlineStr">
        <is>
          <t>Monthly salary — payroll</t>
        </is>
      </c>
      <c r="C133" s="127" t="inlineStr">
        <is>
          <t>Salary</t>
        </is>
      </c>
      <c r="D133" s="128" t="inlineStr">
        <is>
          <t>Income</t>
        </is>
      </c>
      <c r="E133" s="129" t="n">
        <v>72000</v>
      </c>
      <c r="F133" s="128" t="inlineStr">
        <is>
          <t>BPI Checking</t>
        </is>
      </c>
      <c r="G133" s="127" t="n"/>
    </row>
    <row r="134" ht="15" customHeight="1" s="77">
      <c r="A134" s="126" t="n">
        <v>46060</v>
      </c>
      <c r="B134" s="127" t="inlineStr">
        <is>
          <t>Spotify Premium</t>
        </is>
      </c>
      <c r="C134" s="127" t="inlineStr">
        <is>
          <t>Subscriptions</t>
        </is>
      </c>
      <c r="D134" s="128" t="inlineStr">
        <is>
          <t>Expense</t>
        </is>
      </c>
      <c r="E134" s="129" t="n">
        <v>194</v>
      </c>
      <c r="F134" s="128" t="inlineStr">
        <is>
          <t>Credit Card</t>
        </is>
      </c>
      <c r="G134" s="127" t="n"/>
    </row>
    <row r="135" ht="15" customHeight="1" s="77">
      <c r="A135" s="126" t="n">
        <v>46062</v>
      </c>
      <c r="B135" s="127" t="inlineStr">
        <is>
          <t>iCloud+ storage</t>
        </is>
      </c>
      <c r="C135" s="127" t="inlineStr">
        <is>
          <t>Subscriptions</t>
        </is>
      </c>
      <c r="D135" s="128" t="inlineStr">
        <is>
          <t>Expense</t>
        </is>
      </c>
      <c r="E135" s="129" t="n">
        <v>99</v>
      </c>
      <c r="F135" s="128" t="inlineStr">
        <is>
          <t>Credit Card</t>
        </is>
      </c>
      <c r="G135" s="127" t="n"/>
    </row>
    <row r="136" ht="15" customHeight="1" s="77">
      <c r="A136" s="126" t="n">
        <v>46062</v>
      </c>
      <c r="B136" s="127" t="inlineStr">
        <is>
          <t>Beep card top-up</t>
        </is>
      </c>
      <c r="C136" s="127" t="inlineStr">
        <is>
          <t>Transportation</t>
        </is>
      </c>
      <c r="D136" s="128" t="inlineStr">
        <is>
          <t>Expense</t>
        </is>
      </c>
      <c r="E136" s="129" t="n">
        <v>775</v>
      </c>
      <c r="F136" s="128" t="inlineStr">
        <is>
          <t>Cash</t>
        </is>
      </c>
      <c r="G136" s="127" t="n"/>
    </row>
    <row r="137" ht="15" customHeight="1" s="77">
      <c r="A137" s="126" t="n">
        <v>46063</v>
      </c>
      <c r="B137" s="127" t="inlineStr">
        <is>
          <t>Meralco electricity</t>
        </is>
      </c>
      <c r="C137" s="127" t="inlineStr">
        <is>
          <t>Utilities</t>
        </is>
      </c>
      <c r="D137" s="128" t="inlineStr">
        <is>
          <t>Expense</t>
        </is>
      </c>
      <c r="E137" s="129" t="n">
        <v>3484</v>
      </c>
      <c r="F137" s="128" t="inlineStr">
        <is>
          <t>GCash</t>
        </is>
      </c>
      <c r="G137" s="127" t="n"/>
    </row>
    <row r="138" ht="15" customHeight="1" s="77">
      <c r="A138" s="126" t="n">
        <v>46064</v>
      </c>
      <c r="B138" s="127" t="inlineStr">
        <is>
          <t>Steam game</t>
        </is>
      </c>
      <c r="C138" s="127" t="inlineStr">
        <is>
          <t>Entertainment</t>
        </is>
      </c>
      <c r="D138" s="128" t="inlineStr">
        <is>
          <t>Expense</t>
        </is>
      </c>
      <c r="E138" s="129" t="n">
        <v>944</v>
      </c>
      <c r="F138" s="128" t="inlineStr">
        <is>
          <t>GCash</t>
        </is>
      </c>
      <c r="G138" s="127" t="n"/>
    </row>
    <row r="139" ht="15" customHeight="1" s="77">
      <c r="A139" s="126" t="n">
        <v>46065</v>
      </c>
      <c r="B139" s="127" t="inlineStr">
        <is>
          <t>Manila Water</t>
        </is>
      </c>
      <c r="C139" s="127" t="inlineStr">
        <is>
          <t>Utilities</t>
        </is>
      </c>
      <c r="D139" s="128" t="inlineStr">
        <is>
          <t>Expense</t>
        </is>
      </c>
      <c r="E139" s="129" t="n">
        <v>473</v>
      </c>
      <c r="F139" s="128" t="inlineStr">
        <is>
          <t>GCash</t>
        </is>
      </c>
      <c r="G139" s="127" t="n"/>
    </row>
    <row r="140" ht="15" customHeight="1" s="77">
      <c r="A140" s="126" t="n">
        <v>46066</v>
      </c>
      <c r="B140" s="127" t="inlineStr">
        <is>
          <t>Beep card top-up</t>
        </is>
      </c>
      <c r="C140" s="127" t="inlineStr">
        <is>
          <t>Transportation</t>
        </is>
      </c>
      <c r="D140" s="128" t="inlineStr">
        <is>
          <t>Expense</t>
        </is>
      </c>
      <c r="E140" s="129" t="n">
        <v>606</v>
      </c>
      <c r="F140" s="128" t="inlineStr">
        <is>
          <t>GCash</t>
        </is>
      </c>
      <c r="G140" s="127" t="n"/>
    </row>
    <row r="141" ht="15" customHeight="1" s="77">
      <c r="A141" s="126" t="n">
        <v>46068</v>
      </c>
      <c r="B141" s="127" t="inlineStr">
        <is>
          <t>PLDT Home Fibr</t>
        </is>
      </c>
      <c r="C141" s="127" t="inlineStr">
        <is>
          <t>Utilities</t>
        </is>
      </c>
      <c r="D141" s="128" t="inlineStr">
        <is>
          <t>Expense</t>
        </is>
      </c>
      <c r="E141" s="129" t="n">
        <v>1699</v>
      </c>
      <c r="F141" s="128" t="inlineStr">
        <is>
          <t>Credit Card</t>
        </is>
      </c>
      <c r="G141" s="127" t="n"/>
    </row>
    <row r="142" ht="15" customHeight="1" s="77">
      <c r="A142" s="126" t="n">
        <v>46068</v>
      </c>
      <c r="B142" s="127" t="inlineStr">
        <is>
          <t>Milk tea run</t>
        </is>
      </c>
      <c r="C142" s="127" t="inlineStr">
        <is>
          <t>Dining Out</t>
        </is>
      </c>
      <c r="D142" s="128" t="inlineStr">
        <is>
          <t>Expense</t>
        </is>
      </c>
      <c r="E142" s="129" t="n">
        <v>540</v>
      </c>
      <c r="F142" s="128" t="inlineStr">
        <is>
          <t>Cash</t>
        </is>
      </c>
      <c r="G142" s="127" t="n"/>
    </row>
    <row r="143" ht="15" customHeight="1" s="77">
      <c r="A143" s="126" t="n">
        <v>46073</v>
      </c>
      <c r="B143" s="127" t="inlineStr">
        <is>
          <t>Puregold groceries</t>
        </is>
      </c>
      <c r="C143" s="127" t="inlineStr">
        <is>
          <t>Groceries</t>
        </is>
      </c>
      <c r="D143" s="128" t="inlineStr">
        <is>
          <t>Expense</t>
        </is>
      </c>
      <c r="E143" s="129" t="n">
        <v>3382</v>
      </c>
      <c r="F143" s="128" t="inlineStr">
        <is>
          <t>Cash</t>
        </is>
      </c>
      <c r="G143" s="127" t="n"/>
    </row>
    <row r="144" ht="15" customHeight="1" s="77">
      <c r="A144" s="126" t="n">
        <v>46073</v>
      </c>
      <c r="B144" s="127" t="inlineStr">
        <is>
          <t>Cinema — SM North EDSA</t>
        </is>
      </c>
      <c r="C144" s="127" t="inlineStr">
        <is>
          <t>Entertainment</t>
        </is>
      </c>
      <c r="D144" s="128" t="inlineStr">
        <is>
          <t>Expense</t>
        </is>
      </c>
      <c r="E144" s="129" t="n">
        <v>407</v>
      </c>
      <c r="F144" s="128" t="inlineStr">
        <is>
          <t>GCash</t>
        </is>
      </c>
      <c r="G144" s="127" t="n"/>
    </row>
    <row r="145" ht="15" customHeight="1" s="77">
      <c r="A145" s="126" t="n">
        <v>46074</v>
      </c>
      <c r="B145" s="127" t="inlineStr">
        <is>
          <t>Decathlon</t>
        </is>
      </c>
      <c r="C145" s="127" t="inlineStr">
        <is>
          <t>Shopping</t>
        </is>
      </c>
      <c r="D145" s="128" t="inlineStr">
        <is>
          <t>Expense</t>
        </is>
      </c>
      <c r="E145" s="129" t="n">
        <v>4742</v>
      </c>
      <c r="F145" s="128" t="inlineStr">
        <is>
          <t>Credit Card</t>
        </is>
      </c>
      <c r="G145" s="127" t="n"/>
    </row>
    <row r="146" ht="15" customHeight="1" s="77">
      <c r="A146" s="126" t="n">
        <v>46075</v>
      </c>
      <c r="B146" s="127" t="inlineStr">
        <is>
          <t>WalterMart groceries</t>
        </is>
      </c>
      <c r="C146" s="127" t="inlineStr">
        <is>
          <t>Groceries</t>
        </is>
      </c>
      <c r="D146" s="128" t="inlineStr">
        <is>
          <t>Expense</t>
        </is>
      </c>
      <c r="E146" s="129" t="n">
        <v>2641</v>
      </c>
      <c r="F146" s="128" t="inlineStr">
        <is>
          <t>GCash</t>
        </is>
      </c>
      <c r="G146" s="127" t="n"/>
    </row>
    <row r="147" ht="15" customHeight="1" s="77">
      <c r="A147" s="126" t="n">
        <v>46077</v>
      </c>
      <c r="B147" s="127" t="inlineStr">
        <is>
          <t>SM Supermarket run</t>
        </is>
      </c>
      <c r="C147" s="127" t="inlineStr">
        <is>
          <t>Groceries</t>
        </is>
      </c>
      <c r="D147" s="128" t="inlineStr">
        <is>
          <t>Expense</t>
        </is>
      </c>
      <c r="E147" s="129" t="n">
        <v>2979</v>
      </c>
      <c r="F147" s="128" t="inlineStr">
        <is>
          <t>GCash</t>
        </is>
      </c>
      <c r="G147" s="127" t="n"/>
    </row>
    <row r="148" ht="15" customHeight="1" s="77">
      <c r="A148" s="126" t="n">
        <v>46078</v>
      </c>
      <c r="B148" s="127" t="inlineStr">
        <is>
          <t>Gas — Shell</t>
        </is>
      </c>
      <c r="C148" s="127" t="inlineStr">
        <is>
          <t>Transportation</t>
        </is>
      </c>
      <c r="D148" s="128" t="inlineStr">
        <is>
          <t>Expense</t>
        </is>
      </c>
      <c r="E148" s="129" t="n">
        <v>277</v>
      </c>
      <c r="F148" s="128" t="inlineStr">
        <is>
          <t>Cash</t>
        </is>
      </c>
      <c r="G148" s="127" t="n"/>
    </row>
    <row r="149" ht="15" customHeight="1" s="77">
      <c r="A149" s="126" t="n">
        <v>46078</v>
      </c>
      <c r="B149" s="127" t="inlineStr">
        <is>
          <t>Milk tea run</t>
        </is>
      </c>
      <c r="C149" s="127" t="inlineStr">
        <is>
          <t>Dining Out</t>
        </is>
      </c>
      <c r="D149" s="128" t="inlineStr">
        <is>
          <t>Expense</t>
        </is>
      </c>
      <c r="E149" s="129" t="n">
        <v>1424</v>
      </c>
      <c r="F149" s="128" t="inlineStr">
        <is>
          <t>GCash</t>
        </is>
      </c>
      <c r="G149" s="127" t="n"/>
    </row>
    <row r="150" ht="15" customHeight="1" s="77">
      <c r="A150" s="126" t="n">
        <v>46078</v>
      </c>
      <c r="B150" s="127" t="inlineStr">
        <is>
          <t>Jollibee</t>
        </is>
      </c>
      <c r="C150" s="127" t="inlineStr">
        <is>
          <t>Dining Out</t>
        </is>
      </c>
      <c r="D150" s="128" t="inlineStr">
        <is>
          <t>Expense</t>
        </is>
      </c>
      <c r="E150" s="129" t="n">
        <v>858</v>
      </c>
      <c r="F150" s="128" t="inlineStr">
        <is>
          <t>Credit Card</t>
        </is>
      </c>
      <c r="G150" s="127" t="n"/>
    </row>
    <row r="151" ht="15" customHeight="1" s="77">
      <c r="A151" s="126" t="n">
        <v>46079</v>
      </c>
      <c r="B151" s="127" t="inlineStr">
        <is>
          <t>Udemy course</t>
        </is>
      </c>
      <c r="C151" s="127" t="inlineStr">
        <is>
          <t>Education</t>
        </is>
      </c>
      <c r="D151" s="128" t="inlineStr">
        <is>
          <t>Expense</t>
        </is>
      </c>
      <c r="E151" s="129" t="n">
        <v>704</v>
      </c>
      <c r="F151" s="128" t="inlineStr">
        <is>
          <t>Credit Card</t>
        </is>
      </c>
      <c r="G151" s="127" t="n"/>
    </row>
    <row r="152" ht="15" customHeight="1" s="77">
      <c r="A152" s="126" t="n">
        <v>46080</v>
      </c>
      <c r="B152" s="127" t="inlineStr">
        <is>
          <t>Lazada — home stuff</t>
        </is>
      </c>
      <c r="C152" s="127" t="inlineStr">
        <is>
          <t>Shopping</t>
        </is>
      </c>
      <c r="D152" s="128" t="inlineStr">
        <is>
          <t>Expense</t>
        </is>
      </c>
      <c r="E152" s="129" t="n">
        <v>1563</v>
      </c>
      <c r="F152" s="128" t="inlineStr">
        <is>
          <t>GCash</t>
        </is>
      </c>
      <c r="G152" s="127" t="n"/>
    </row>
    <row r="153" ht="15" customHeight="1" s="77">
      <c r="A153" s="126" t="n">
        <v>46082</v>
      </c>
      <c r="B153" s="127" t="inlineStr">
        <is>
          <t>Apartment rent</t>
        </is>
      </c>
      <c r="C153" s="127" t="inlineStr">
        <is>
          <t>Housing</t>
        </is>
      </c>
      <c r="D153" s="128" t="inlineStr">
        <is>
          <t>Expense</t>
        </is>
      </c>
      <c r="E153" s="129" t="n">
        <v>18000</v>
      </c>
      <c r="F153" s="128" t="inlineStr">
        <is>
          <t>BPI Checking</t>
        </is>
      </c>
      <c r="G153" s="127" t="n"/>
    </row>
    <row r="154" ht="15" customHeight="1" s="77">
      <c r="A154" s="126" t="n">
        <v>46083</v>
      </c>
      <c r="B154" s="127" t="inlineStr">
        <is>
          <t>Anytime Fitness membership</t>
        </is>
      </c>
      <c r="C154" s="127" t="inlineStr">
        <is>
          <t>Health &amp; Fitness</t>
        </is>
      </c>
      <c r="D154" s="128" t="inlineStr">
        <is>
          <t>Expense</t>
        </is>
      </c>
      <c r="E154" s="129" t="n">
        <v>1500</v>
      </c>
      <c r="F154" s="128" t="inlineStr">
        <is>
          <t>Credit Card</t>
        </is>
      </c>
      <c r="G154" s="127" t="n"/>
    </row>
    <row r="155" ht="15" customHeight="1" s="77">
      <c r="A155" s="126" t="n">
        <v>46084</v>
      </c>
      <c r="B155" s="127" t="inlineStr">
        <is>
          <t>Netflix</t>
        </is>
      </c>
      <c r="C155" s="127" t="inlineStr">
        <is>
          <t>Subscriptions</t>
        </is>
      </c>
      <c r="D155" s="128" t="inlineStr">
        <is>
          <t>Expense</t>
        </is>
      </c>
      <c r="E155" s="129" t="n">
        <v>549</v>
      </c>
      <c r="F155" s="128" t="inlineStr">
        <is>
          <t>Credit Card</t>
        </is>
      </c>
      <c r="G155" s="127" t="n"/>
    </row>
    <row r="156" ht="15" customHeight="1" s="77">
      <c r="A156" s="126" t="n">
        <v>46084</v>
      </c>
      <c r="B156" s="127" t="inlineStr">
        <is>
          <t>Gift + card</t>
        </is>
      </c>
      <c r="C156" s="127" t="inlineStr">
        <is>
          <t>Miscellaneous</t>
        </is>
      </c>
      <c r="D156" s="128" t="inlineStr">
        <is>
          <t>Expense</t>
        </is>
      </c>
      <c r="E156" s="129" t="n">
        <v>356</v>
      </c>
      <c r="F156" s="128" t="inlineStr">
        <is>
          <t>Cash</t>
        </is>
      </c>
      <c r="G156" s="127" t="n"/>
    </row>
    <row r="157" ht="15" customHeight="1" s="77">
      <c r="A157" s="126" t="n">
        <v>46086</v>
      </c>
      <c r="B157" s="127" t="inlineStr">
        <is>
          <t>Monthly salary — payroll</t>
        </is>
      </c>
      <c r="C157" s="127" t="inlineStr">
        <is>
          <t>Salary</t>
        </is>
      </c>
      <c r="D157" s="128" t="inlineStr">
        <is>
          <t>Income</t>
        </is>
      </c>
      <c r="E157" s="129" t="n">
        <v>72000</v>
      </c>
      <c r="F157" s="128" t="inlineStr">
        <is>
          <t>BPI Checking</t>
        </is>
      </c>
      <c r="G157" s="127" t="n"/>
    </row>
    <row r="158" ht="15" customHeight="1" s="77">
      <c r="A158" s="126" t="n">
        <v>46086</v>
      </c>
      <c r="B158" s="127" t="inlineStr">
        <is>
          <t>Landers grocery haul</t>
        </is>
      </c>
      <c r="C158" s="127" t="inlineStr">
        <is>
          <t>Groceries</t>
        </is>
      </c>
      <c r="D158" s="128" t="inlineStr">
        <is>
          <t>Expense</t>
        </is>
      </c>
      <c r="E158" s="129" t="n">
        <v>2339</v>
      </c>
      <c r="F158" s="128" t="inlineStr">
        <is>
          <t>GCash</t>
        </is>
      </c>
      <c r="G158" s="127" t="n"/>
    </row>
    <row r="159" ht="15" customHeight="1" s="77">
      <c r="A159" s="126" t="n">
        <v>46087</v>
      </c>
      <c r="B159" s="127" t="inlineStr">
        <is>
          <t>Lazada — home stuff</t>
        </is>
      </c>
      <c r="C159" s="127" t="inlineStr">
        <is>
          <t>Shopping</t>
        </is>
      </c>
      <c r="D159" s="128" t="inlineStr">
        <is>
          <t>Expense</t>
        </is>
      </c>
      <c r="E159" s="129" t="n">
        <v>4648</v>
      </c>
      <c r="F159" s="128" t="inlineStr">
        <is>
          <t>GCash</t>
        </is>
      </c>
      <c r="G159" s="127" t="n"/>
    </row>
    <row r="160" ht="15" customHeight="1" s="77">
      <c r="A160" s="126" t="n">
        <v>46088</v>
      </c>
      <c r="B160" s="127" t="inlineStr">
        <is>
          <t>Spotify Premium</t>
        </is>
      </c>
      <c r="C160" s="127" t="inlineStr">
        <is>
          <t>Subscriptions</t>
        </is>
      </c>
      <c r="D160" s="128" t="inlineStr">
        <is>
          <t>Expense</t>
        </is>
      </c>
      <c r="E160" s="129" t="n">
        <v>194</v>
      </c>
      <c r="F160" s="128" t="inlineStr">
        <is>
          <t>Credit Card</t>
        </is>
      </c>
      <c r="G160" s="127" t="n"/>
    </row>
    <row r="161" ht="15" customHeight="1" s="77">
      <c r="A161" s="126" t="n">
        <v>46088</v>
      </c>
      <c r="B161" s="127" t="inlineStr">
        <is>
          <t>Samgyup night out</t>
        </is>
      </c>
      <c r="C161" s="127" t="inlineStr">
        <is>
          <t>Dining Out</t>
        </is>
      </c>
      <c r="D161" s="128" t="inlineStr">
        <is>
          <t>Expense</t>
        </is>
      </c>
      <c r="E161" s="129" t="n">
        <v>815</v>
      </c>
      <c r="F161" s="128" t="inlineStr">
        <is>
          <t>GCash</t>
        </is>
      </c>
      <c r="G161" s="127" t="n"/>
    </row>
    <row r="162" ht="15" customHeight="1" s="77">
      <c r="A162" s="126" t="n">
        <v>46089</v>
      </c>
      <c r="B162" s="127" t="inlineStr">
        <is>
          <t>Shopee order</t>
        </is>
      </c>
      <c r="C162" s="127" t="inlineStr">
        <is>
          <t>Shopping</t>
        </is>
      </c>
      <c r="D162" s="128" t="inlineStr">
        <is>
          <t>Expense</t>
        </is>
      </c>
      <c r="E162" s="129" t="n">
        <v>1388</v>
      </c>
      <c r="F162" s="128" t="inlineStr">
        <is>
          <t>GCash</t>
        </is>
      </c>
      <c r="G162" s="127" t="n"/>
    </row>
    <row r="163" ht="15" customHeight="1" s="77">
      <c r="A163" s="126" t="n">
        <v>46090</v>
      </c>
      <c r="B163" s="127" t="inlineStr">
        <is>
          <t>Freelance — web copy</t>
        </is>
      </c>
      <c r="C163" s="127" t="inlineStr">
        <is>
          <t>Freelance</t>
        </is>
      </c>
      <c r="D163" s="128" t="inlineStr">
        <is>
          <t>Income</t>
        </is>
      </c>
      <c r="E163" s="129" t="n">
        <v>14500</v>
      </c>
      <c r="F163" s="128" t="inlineStr">
        <is>
          <t>GCash</t>
        </is>
      </c>
      <c r="G163" s="127" t="n"/>
    </row>
    <row r="164" ht="15" customHeight="1" s="77">
      <c r="A164" s="126" t="n">
        <v>46090</v>
      </c>
      <c r="B164" s="127" t="inlineStr">
        <is>
          <t>iCloud+ storage</t>
        </is>
      </c>
      <c r="C164" s="127" t="inlineStr">
        <is>
          <t>Subscriptions</t>
        </is>
      </c>
      <c r="D164" s="128" t="inlineStr">
        <is>
          <t>Expense</t>
        </is>
      </c>
      <c r="E164" s="129" t="n">
        <v>99</v>
      </c>
      <c r="F164" s="128" t="inlineStr">
        <is>
          <t>Credit Card</t>
        </is>
      </c>
      <c r="G164" s="127" t="n"/>
    </row>
    <row r="165" ht="15" customHeight="1" s="77">
      <c r="A165" s="126" t="n">
        <v>46091</v>
      </c>
      <c r="B165" s="127" t="inlineStr">
        <is>
          <t>Meralco electricity</t>
        </is>
      </c>
      <c r="C165" s="127" t="inlineStr">
        <is>
          <t>Utilities</t>
        </is>
      </c>
      <c r="D165" s="128" t="inlineStr">
        <is>
          <t>Expense</t>
        </is>
      </c>
      <c r="E165" s="129" t="n">
        <v>3215</v>
      </c>
      <c r="F165" s="128" t="inlineStr">
        <is>
          <t>GCash</t>
        </is>
      </c>
      <c r="G165" s="127" t="n"/>
    </row>
    <row r="166" ht="15" customHeight="1" s="77">
      <c r="A166" s="126" t="n">
        <v>46092</v>
      </c>
      <c r="B166" s="127" t="inlineStr">
        <is>
          <t>Angkas to Makati</t>
        </is>
      </c>
      <c r="C166" s="127" t="inlineStr">
        <is>
          <t>Transportation</t>
        </is>
      </c>
      <c r="D166" s="128" t="inlineStr">
        <is>
          <t>Expense</t>
        </is>
      </c>
      <c r="E166" s="129" t="n">
        <v>648</v>
      </c>
      <c r="F166" s="128" t="inlineStr">
        <is>
          <t>GCash</t>
        </is>
      </c>
      <c r="G166" s="127" t="n"/>
    </row>
    <row r="167" ht="15" customHeight="1" s="77">
      <c r="A167" s="126" t="n">
        <v>46093</v>
      </c>
      <c r="B167" s="127" t="inlineStr">
        <is>
          <t>Manila Water</t>
        </is>
      </c>
      <c r="C167" s="127" t="inlineStr">
        <is>
          <t>Utilities</t>
        </is>
      </c>
      <c r="D167" s="128" t="inlineStr">
        <is>
          <t>Expense</t>
        </is>
      </c>
      <c r="E167" s="129" t="n">
        <v>539</v>
      </c>
      <c r="F167" s="128" t="inlineStr">
        <is>
          <t>GCash</t>
        </is>
      </c>
      <c r="G167" s="127" t="n"/>
    </row>
    <row r="168" ht="15" customHeight="1" s="77">
      <c r="A168" s="126" t="n">
        <v>46093</v>
      </c>
      <c r="B168" s="127" t="inlineStr">
        <is>
          <t>Gas — Shell</t>
        </is>
      </c>
      <c r="C168" s="127" t="inlineStr">
        <is>
          <t>Transportation</t>
        </is>
      </c>
      <c r="D168" s="128" t="inlineStr">
        <is>
          <t>Expense</t>
        </is>
      </c>
      <c r="E168" s="129" t="n">
        <v>761</v>
      </c>
      <c r="F168" s="128" t="inlineStr">
        <is>
          <t>GCash</t>
        </is>
      </c>
      <c r="G168" s="127" t="n"/>
    </row>
    <row r="169" ht="15" customHeight="1" s="77">
      <c r="A169" s="126" t="n">
        <v>46095</v>
      </c>
      <c r="B169" s="127" t="inlineStr">
        <is>
          <t>Milk tea run</t>
        </is>
      </c>
      <c r="C169" s="127" t="inlineStr">
        <is>
          <t>Dining Out</t>
        </is>
      </c>
      <c r="D169" s="128" t="inlineStr">
        <is>
          <t>Expense</t>
        </is>
      </c>
      <c r="E169" s="129" t="n">
        <v>923</v>
      </c>
      <c r="F169" s="128" t="inlineStr">
        <is>
          <t>Credit Card</t>
        </is>
      </c>
      <c r="G169" s="127" t="n"/>
    </row>
    <row r="170" ht="15" customHeight="1" s="77">
      <c r="A170" s="126" t="n">
        <v>46096</v>
      </c>
      <c r="B170" s="127" t="inlineStr">
        <is>
          <t>PLDT Home Fibr</t>
        </is>
      </c>
      <c r="C170" s="127" t="inlineStr">
        <is>
          <t>Utilities</t>
        </is>
      </c>
      <c r="D170" s="128" t="inlineStr">
        <is>
          <t>Expense</t>
        </is>
      </c>
      <c r="E170" s="129" t="n">
        <v>1699</v>
      </c>
      <c r="F170" s="128" t="inlineStr">
        <is>
          <t>Credit Card</t>
        </is>
      </c>
      <c r="G170" s="127" t="n"/>
    </row>
    <row r="171" ht="15" customHeight="1" s="77">
      <c r="A171" s="126" t="n">
        <v>46098</v>
      </c>
      <c r="B171" s="127" t="inlineStr">
        <is>
          <t>Puregold groceries</t>
        </is>
      </c>
      <c r="C171" s="127" t="inlineStr">
        <is>
          <t>Groceries</t>
        </is>
      </c>
      <c r="D171" s="128" t="inlineStr">
        <is>
          <t>Expense</t>
        </is>
      </c>
      <c r="E171" s="129" t="n">
        <v>2191</v>
      </c>
      <c r="F171" s="128" t="inlineStr">
        <is>
          <t>GCash</t>
        </is>
      </c>
      <c r="G171" s="127" t="n"/>
    </row>
    <row r="172" ht="15" customHeight="1" s="77">
      <c r="A172" s="126" t="n">
        <v>46098</v>
      </c>
      <c r="B172" s="127" t="inlineStr">
        <is>
          <t>Gas — Shell</t>
        </is>
      </c>
      <c r="C172" s="127" t="inlineStr">
        <is>
          <t>Transportation</t>
        </is>
      </c>
      <c r="D172" s="128" t="inlineStr">
        <is>
          <t>Expense</t>
        </is>
      </c>
      <c r="E172" s="129" t="n">
        <v>614</v>
      </c>
      <c r="F172" s="128" t="inlineStr">
        <is>
          <t>GCash</t>
        </is>
      </c>
      <c r="G172" s="127" t="n"/>
    </row>
    <row r="173" ht="15" customHeight="1" s="77">
      <c r="A173" s="126" t="n">
        <v>46099</v>
      </c>
      <c r="B173" s="127" t="inlineStr">
        <is>
          <t>Steam game</t>
        </is>
      </c>
      <c r="C173" s="127" t="inlineStr">
        <is>
          <t>Entertainment</t>
        </is>
      </c>
      <c r="D173" s="128" t="inlineStr">
        <is>
          <t>Expense</t>
        </is>
      </c>
      <c r="E173" s="129" t="n">
        <v>787</v>
      </c>
      <c r="F173" s="128" t="inlineStr">
        <is>
          <t>Credit Card</t>
        </is>
      </c>
      <c r="G173" s="127" t="n"/>
    </row>
    <row r="174" ht="15" customHeight="1" s="77">
      <c r="A174" s="126" t="n">
        <v>46104</v>
      </c>
      <c r="B174" s="127" t="inlineStr">
        <is>
          <t>Milk tea run</t>
        </is>
      </c>
      <c r="C174" s="127" t="inlineStr">
        <is>
          <t>Dining Out</t>
        </is>
      </c>
      <c r="D174" s="128" t="inlineStr">
        <is>
          <t>Expense</t>
        </is>
      </c>
      <c r="E174" s="129" t="n">
        <v>503</v>
      </c>
      <c r="F174" s="128" t="inlineStr">
        <is>
          <t>GCash</t>
        </is>
      </c>
      <c r="G174" s="127" t="n"/>
    </row>
    <row r="175" ht="15" customHeight="1" s="77">
      <c r="A175" s="126" t="n">
        <v>46105</v>
      </c>
      <c r="B175" s="127" t="inlineStr">
        <is>
          <t>Steam game</t>
        </is>
      </c>
      <c r="C175" s="127" t="inlineStr">
        <is>
          <t>Entertainment</t>
        </is>
      </c>
      <c r="D175" s="128" t="inlineStr">
        <is>
          <t>Expense</t>
        </is>
      </c>
      <c r="E175" s="129" t="n">
        <v>610</v>
      </c>
      <c r="F175" s="128" t="inlineStr">
        <is>
          <t>Credit Card</t>
        </is>
      </c>
      <c r="G175" s="127" t="n"/>
    </row>
    <row r="176" ht="15" customHeight="1" s="77">
      <c r="A176" s="126" t="n">
        <v>46108</v>
      </c>
      <c r="B176" s="127" t="inlineStr">
        <is>
          <t>Puregold groceries</t>
        </is>
      </c>
      <c r="C176" s="127" t="inlineStr">
        <is>
          <t>Groceries</t>
        </is>
      </c>
      <c r="D176" s="128" t="inlineStr">
        <is>
          <t>Expense</t>
        </is>
      </c>
      <c r="E176" s="129" t="n">
        <v>2917</v>
      </c>
      <c r="F176" s="128" t="inlineStr">
        <is>
          <t>GCash</t>
        </is>
      </c>
      <c r="G176" s="127" t="n"/>
    </row>
    <row r="177" ht="15" customHeight="1" s="77">
      <c r="A177" s="126" t="n">
        <v>46113</v>
      </c>
      <c r="B177" s="127" t="inlineStr">
        <is>
          <t>Apartment rent</t>
        </is>
      </c>
      <c r="C177" s="127" t="inlineStr">
        <is>
          <t>Housing</t>
        </is>
      </c>
      <c r="D177" s="128" t="inlineStr">
        <is>
          <t>Expense</t>
        </is>
      </c>
      <c r="E177" s="129" t="n">
        <v>18000</v>
      </c>
      <c r="F177" s="128" t="inlineStr">
        <is>
          <t>BPI Checking</t>
        </is>
      </c>
      <c r="G177" s="127" t="n"/>
    </row>
    <row r="178" ht="15" customHeight="1" s="77">
      <c r="A178" s="126" t="n">
        <v>46114</v>
      </c>
      <c r="B178" s="127" t="inlineStr">
        <is>
          <t>Anytime Fitness membership</t>
        </is>
      </c>
      <c r="C178" s="127" t="inlineStr">
        <is>
          <t>Health &amp; Fitness</t>
        </is>
      </c>
      <c r="D178" s="128" t="inlineStr">
        <is>
          <t>Expense</t>
        </is>
      </c>
      <c r="E178" s="129" t="n">
        <v>1500</v>
      </c>
      <c r="F178" s="128" t="inlineStr">
        <is>
          <t>Credit Card</t>
        </is>
      </c>
      <c r="G178" s="127" t="n"/>
    </row>
    <row r="179" ht="15" customHeight="1" s="77">
      <c r="A179" s="126" t="n">
        <v>46115</v>
      </c>
      <c r="B179" s="127" t="inlineStr">
        <is>
          <t>Netflix</t>
        </is>
      </c>
      <c r="C179" s="127" t="inlineStr">
        <is>
          <t>Subscriptions</t>
        </is>
      </c>
      <c r="D179" s="128" t="inlineStr">
        <is>
          <t>Expense</t>
        </is>
      </c>
      <c r="E179" s="129" t="n">
        <v>549</v>
      </c>
      <c r="F179" s="128" t="inlineStr">
        <is>
          <t>Credit Card</t>
        </is>
      </c>
      <c r="G179" s="127" t="n"/>
    </row>
    <row r="180" ht="15" customHeight="1" s="77">
      <c r="A180" s="126" t="n">
        <v>46115</v>
      </c>
      <c r="B180" s="127" t="inlineStr">
        <is>
          <t>Puregold groceries</t>
        </is>
      </c>
      <c r="C180" s="127" t="inlineStr">
        <is>
          <t>Groceries</t>
        </is>
      </c>
      <c r="D180" s="128" t="inlineStr">
        <is>
          <t>Expense</t>
        </is>
      </c>
      <c r="E180" s="129" t="n">
        <v>2296</v>
      </c>
      <c r="F180" s="128" t="inlineStr">
        <is>
          <t>Credit Card</t>
        </is>
      </c>
      <c r="G180" s="127" t="n"/>
    </row>
    <row r="181" ht="15" customHeight="1" s="77">
      <c r="A181" s="126" t="n">
        <v>46115</v>
      </c>
      <c r="B181" s="127" t="inlineStr">
        <is>
          <t>Cinema — SM North EDSA</t>
        </is>
      </c>
      <c r="C181" s="127" t="inlineStr">
        <is>
          <t>Entertainment</t>
        </is>
      </c>
      <c r="D181" s="128" t="inlineStr">
        <is>
          <t>Expense</t>
        </is>
      </c>
      <c r="E181" s="129" t="n">
        <v>1078</v>
      </c>
      <c r="F181" s="128" t="inlineStr">
        <is>
          <t>Credit Card</t>
        </is>
      </c>
      <c r="G181" s="127" t="n"/>
    </row>
    <row r="182" ht="15" customHeight="1" s="77">
      <c r="A182" s="126" t="n">
        <v>46117</v>
      </c>
      <c r="B182" s="127" t="inlineStr">
        <is>
          <t>Monthly salary — payroll</t>
        </is>
      </c>
      <c r="C182" s="127" t="inlineStr">
        <is>
          <t>Salary</t>
        </is>
      </c>
      <c r="D182" s="128" t="inlineStr">
        <is>
          <t>Income</t>
        </is>
      </c>
      <c r="E182" s="129" t="n">
        <v>72000</v>
      </c>
      <c r="F182" s="128" t="inlineStr">
        <is>
          <t>BPI Checking</t>
        </is>
      </c>
      <c r="G182" s="127" t="n"/>
    </row>
    <row r="183" ht="15" customHeight="1" s="77">
      <c r="A183" s="126" t="n">
        <v>46119</v>
      </c>
      <c r="B183" s="127" t="inlineStr">
        <is>
          <t>Spotify Premium</t>
        </is>
      </c>
      <c r="C183" s="127" t="inlineStr">
        <is>
          <t>Subscriptions</t>
        </is>
      </c>
      <c r="D183" s="128" t="inlineStr">
        <is>
          <t>Expense</t>
        </is>
      </c>
      <c r="E183" s="129" t="n">
        <v>194</v>
      </c>
      <c r="F183" s="128" t="inlineStr">
        <is>
          <t>Credit Card</t>
        </is>
      </c>
      <c r="G183" s="127" t="n"/>
    </row>
    <row r="184" ht="15" customHeight="1" s="77">
      <c r="A184" s="126" t="n">
        <v>46121</v>
      </c>
      <c r="B184" s="127" t="inlineStr">
        <is>
          <t>iCloud+ storage</t>
        </is>
      </c>
      <c r="C184" s="127" t="inlineStr">
        <is>
          <t>Subscriptions</t>
        </is>
      </c>
      <c r="D184" s="128" t="inlineStr">
        <is>
          <t>Expense</t>
        </is>
      </c>
      <c r="E184" s="129" t="n">
        <v>99</v>
      </c>
      <c r="F184" s="128" t="inlineStr">
        <is>
          <t>Credit Card</t>
        </is>
      </c>
      <c r="G184" s="127" t="n"/>
    </row>
    <row r="185" ht="15" customHeight="1" s="77">
      <c r="A185" s="126" t="n">
        <v>46122</v>
      </c>
      <c r="B185" s="127" t="inlineStr">
        <is>
          <t>Meralco electricity</t>
        </is>
      </c>
      <c r="C185" s="127" t="inlineStr">
        <is>
          <t>Utilities</t>
        </is>
      </c>
      <c r="D185" s="128" t="inlineStr">
        <is>
          <t>Expense</t>
        </is>
      </c>
      <c r="E185" s="129" t="n">
        <v>3878</v>
      </c>
      <c r="F185" s="128" t="inlineStr">
        <is>
          <t>GCash</t>
        </is>
      </c>
      <c r="G185" s="127" t="n"/>
    </row>
    <row r="186" ht="15" customHeight="1" s="77">
      <c r="A186" s="126" t="n">
        <v>46123</v>
      </c>
      <c r="B186" s="127" t="inlineStr">
        <is>
          <t>SM Supermarket run</t>
        </is>
      </c>
      <c r="C186" s="127" t="inlineStr">
        <is>
          <t>Groceries</t>
        </is>
      </c>
      <c r="D186" s="128" t="inlineStr">
        <is>
          <t>Expense</t>
        </is>
      </c>
      <c r="E186" s="129" t="n">
        <v>1764</v>
      </c>
      <c r="F186" s="128" t="inlineStr">
        <is>
          <t>Credit Card</t>
        </is>
      </c>
      <c r="G186" s="127" t="n"/>
    </row>
    <row r="187" ht="15" customHeight="1" s="77">
      <c r="A187" s="126" t="n">
        <v>46123</v>
      </c>
      <c r="B187" s="127" t="inlineStr">
        <is>
          <t>Coffee — % Arabica</t>
        </is>
      </c>
      <c r="C187" s="127" t="inlineStr">
        <is>
          <t>Dining Out</t>
        </is>
      </c>
      <c r="D187" s="128" t="inlineStr">
        <is>
          <t>Expense</t>
        </is>
      </c>
      <c r="E187" s="129" t="n">
        <v>702</v>
      </c>
      <c r="F187" s="128" t="inlineStr">
        <is>
          <t>GCash</t>
        </is>
      </c>
      <c r="G187" s="127" t="n"/>
    </row>
    <row r="188" ht="15" customHeight="1" s="77">
      <c r="A188" s="126" t="n">
        <v>46124</v>
      </c>
      <c r="B188" s="127" t="inlineStr">
        <is>
          <t>Manila Water</t>
        </is>
      </c>
      <c r="C188" s="127" t="inlineStr">
        <is>
          <t>Utilities</t>
        </is>
      </c>
      <c r="D188" s="128" t="inlineStr">
        <is>
          <t>Expense</t>
        </is>
      </c>
      <c r="E188" s="129" t="n">
        <v>519</v>
      </c>
      <c r="F188" s="128" t="inlineStr">
        <is>
          <t>GCash</t>
        </is>
      </c>
      <c r="G188" s="127" t="n"/>
    </row>
    <row r="189" ht="15" customHeight="1" s="77">
      <c r="A189" s="126" t="n">
        <v>46125</v>
      </c>
      <c r="B189" s="127" t="inlineStr">
        <is>
          <t>WalterMart groceries</t>
        </is>
      </c>
      <c r="C189" s="127" t="inlineStr">
        <is>
          <t>Groceries</t>
        </is>
      </c>
      <c r="D189" s="128" t="inlineStr">
        <is>
          <t>Expense</t>
        </is>
      </c>
      <c r="E189" s="129" t="n">
        <v>2435</v>
      </c>
      <c r="F189" s="128" t="inlineStr">
        <is>
          <t>Cash</t>
        </is>
      </c>
      <c r="G189" s="127" t="n"/>
    </row>
    <row r="190" ht="15" customHeight="1" s="77">
      <c r="A190" s="126" t="n">
        <v>46127</v>
      </c>
      <c r="B190" s="127" t="inlineStr">
        <is>
          <t>PLDT Home Fibr</t>
        </is>
      </c>
      <c r="C190" s="127" t="inlineStr">
        <is>
          <t>Utilities</t>
        </is>
      </c>
      <c r="D190" s="128" t="inlineStr">
        <is>
          <t>Expense</t>
        </is>
      </c>
      <c r="E190" s="129" t="n">
        <v>1699</v>
      </c>
      <c r="F190" s="128" t="inlineStr">
        <is>
          <t>Credit Card</t>
        </is>
      </c>
      <c r="G190" s="127" t="n"/>
    </row>
    <row r="191" ht="15" customHeight="1" s="77">
      <c r="A191" s="126" t="n">
        <v>46128</v>
      </c>
      <c r="B191" s="127" t="inlineStr">
        <is>
          <t>Grab rides</t>
        </is>
      </c>
      <c r="C191" s="127" t="inlineStr">
        <is>
          <t>Transportation</t>
        </is>
      </c>
      <c r="D191" s="128" t="inlineStr">
        <is>
          <t>Expense</t>
        </is>
      </c>
      <c r="E191" s="129" t="n">
        <v>522</v>
      </c>
      <c r="F191" s="128" t="inlineStr">
        <is>
          <t>Cash</t>
        </is>
      </c>
      <c r="G191" s="127" t="n"/>
    </row>
    <row r="192" ht="15" customHeight="1" s="77">
      <c r="A192" s="126" t="n">
        <v>46128</v>
      </c>
      <c r="B192" s="127" t="inlineStr">
        <is>
          <t>Coffee — % Arabica</t>
        </is>
      </c>
      <c r="C192" s="127" t="inlineStr">
        <is>
          <t>Dining Out</t>
        </is>
      </c>
      <c r="D192" s="128" t="inlineStr">
        <is>
          <t>Expense</t>
        </is>
      </c>
      <c r="E192" s="129" t="n">
        <v>1289</v>
      </c>
      <c r="F192" s="128" t="inlineStr">
        <is>
          <t>GCash</t>
        </is>
      </c>
      <c r="G192" s="127" t="n"/>
    </row>
    <row r="193" ht="15" customHeight="1" s="77">
      <c r="A193" s="126" t="n">
        <v>46129</v>
      </c>
      <c r="B193" s="127" t="inlineStr">
        <is>
          <t>Shopee order</t>
        </is>
      </c>
      <c r="C193" s="127" t="inlineStr">
        <is>
          <t>Shopping</t>
        </is>
      </c>
      <c r="D193" s="128" t="inlineStr">
        <is>
          <t>Expense</t>
        </is>
      </c>
      <c r="E193" s="129" t="n">
        <v>3562</v>
      </c>
      <c r="F193" s="128" t="inlineStr">
        <is>
          <t>Credit Card</t>
        </is>
      </c>
      <c r="G193" s="127" t="n"/>
    </row>
    <row r="194" ht="15" customHeight="1" s="77">
      <c r="A194" s="126" t="n">
        <v>46131</v>
      </c>
      <c r="B194" s="127" t="inlineStr">
        <is>
          <t>Angkas to Makati</t>
        </is>
      </c>
      <c r="C194" s="127" t="inlineStr">
        <is>
          <t>Transportation</t>
        </is>
      </c>
      <c r="D194" s="128" t="inlineStr">
        <is>
          <t>Expense</t>
        </is>
      </c>
      <c r="E194" s="129" t="n">
        <v>371</v>
      </c>
      <c r="F194" s="128" t="inlineStr">
        <is>
          <t>GCash</t>
        </is>
      </c>
      <c r="G194" s="127" t="n"/>
    </row>
    <row r="195" ht="15" customHeight="1" s="77">
      <c r="A195" s="126" t="n">
        <v>46135</v>
      </c>
      <c r="B195" s="127" t="inlineStr">
        <is>
          <t>Angkas to Makati</t>
        </is>
      </c>
      <c r="C195" s="127" t="inlineStr">
        <is>
          <t>Transportation</t>
        </is>
      </c>
      <c r="D195" s="128" t="inlineStr">
        <is>
          <t>Expense</t>
        </is>
      </c>
      <c r="E195" s="129" t="n">
        <v>611</v>
      </c>
      <c r="F195" s="128" t="inlineStr">
        <is>
          <t>Cash</t>
        </is>
      </c>
      <c r="G195" s="127" t="n"/>
    </row>
    <row r="196" ht="15" customHeight="1" s="77">
      <c r="A196" s="126" t="n">
        <v>46138</v>
      </c>
      <c r="B196" s="127" t="inlineStr">
        <is>
          <t>Ramen — Mendokoro</t>
        </is>
      </c>
      <c r="C196" s="127" t="inlineStr">
        <is>
          <t>Dining Out</t>
        </is>
      </c>
      <c r="D196" s="128" t="inlineStr">
        <is>
          <t>Expense</t>
        </is>
      </c>
      <c r="E196" s="129" t="n">
        <v>1119</v>
      </c>
      <c r="F196" s="128" t="inlineStr">
        <is>
          <t>GCash</t>
        </is>
      </c>
      <c r="G196" s="127" t="n"/>
    </row>
    <row r="197" ht="15" customHeight="1" s="77">
      <c r="A197" s="126" t="n">
        <v>46143</v>
      </c>
      <c r="B197" s="127" t="inlineStr">
        <is>
          <t>Apartment rent</t>
        </is>
      </c>
      <c r="C197" s="127" t="inlineStr">
        <is>
          <t>Housing</t>
        </is>
      </c>
      <c r="D197" s="128" t="inlineStr">
        <is>
          <t>Expense</t>
        </is>
      </c>
      <c r="E197" s="129" t="n">
        <v>18000</v>
      </c>
      <c r="F197" s="128" t="inlineStr">
        <is>
          <t>BPI Checking</t>
        </is>
      </c>
      <c r="G197" s="127" t="n"/>
    </row>
    <row r="198" ht="15" customHeight="1" s="77">
      <c r="A198" s="126" t="n">
        <v>46144</v>
      </c>
      <c r="B198" s="127" t="inlineStr">
        <is>
          <t>Anytime Fitness membership</t>
        </is>
      </c>
      <c r="C198" s="127" t="inlineStr">
        <is>
          <t>Health &amp; Fitness</t>
        </is>
      </c>
      <c r="D198" s="128" t="inlineStr">
        <is>
          <t>Expense</t>
        </is>
      </c>
      <c r="E198" s="129" t="n">
        <v>1500</v>
      </c>
      <c r="F198" s="128" t="inlineStr">
        <is>
          <t>Credit Card</t>
        </is>
      </c>
      <c r="G198" s="127" t="n"/>
    </row>
    <row r="199" ht="15" customHeight="1" s="77">
      <c r="A199" s="126" t="n">
        <v>46145</v>
      </c>
      <c r="B199" s="127" t="inlineStr">
        <is>
          <t>Netflix</t>
        </is>
      </c>
      <c r="C199" s="127" t="inlineStr">
        <is>
          <t>Subscriptions</t>
        </is>
      </c>
      <c r="D199" s="128" t="inlineStr">
        <is>
          <t>Expense</t>
        </is>
      </c>
      <c r="E199" s="129" t="n">
        <v>549</v>
      </c>
      <c r="F199" s="128" t="inlineStr">
        <is>
          <t>Credit Card</t>
        </is>
      </c>
      <c r="G199" s="127" t="n"/>
    </row>
    <row r="200" ht="15" customHeight="1" s="77">
      <c r="A200" s="126" t="n">
        <v>46146</v>
      </c>
      <c r="B200" s="127" t="inlineStr">
        <is>
          <t>WalterMart groceries</t>
        </is>
      </c>
      <c r="C200" s="127" t="inlineStr">
        <is>
          <t>Groceries</t>
        </is>
      </c>
      <c r="D200" s="128" t="inlineStr">
        <is>
          <t>Expense</t>
        </is>
      </c>
      <c r="E200" s="129" t="n">
        <v>2053</v>
      </c>
      <c r="F200" s="128" t="inlineStr">
        <is>
          <t>Cash</t>
        </is>
      </c>
      <c r="G200" s="127" t="n"/>
    </row>
    <row r="201" ht="15" customHeight="1" s="77">
      <c r="A201" s="126" t="n">
        <v>46147</v>
      </c>
      <c r="B201" s="127" t="inlineStr">
        <is>
          <t>Monthly salary — payroll</t>
        </is>
      </c>
      <c r="C201" s="127" t="inlineStr">
        <is>
          <t>Salary</t>
        </is>
      </c>
      <c r="D201" s="128" t="inlineStr">
        <is>
          <t>Income</t>
        </is>
      </c>
      <c r="E201" s="129" t="n">
        <v>72000</v>
      </c>
      <c r="F201" s="128" t="inlineStr">
        <is>
          <t>BPI Checking</t>
        </is>
      </c>
      <c r="G201" s="127" t="n"/>
    </row>
    <row r="202" ht="15" customHeight="1" s="77">
      <c r="A202" s="126" t="n">
        <v>46148</v>
      </c>
      <c r="B202" s="127" t="inlineStr">
        <is>
          <t>Beep card top-up</t>
        </is>
      </c>
      <c r="C202" s="127" t="inlineStr">
        <is>
          <t>Transportation</t>
        </is>
      </c>
      <c r="D202" s="128" t="inlineStr">
        <is>
          <t>Expense</t>
        </is>
      </c>
      <c r="E202" s="129" t="n">
        <v>865</v>
      </c>
      <c r="F202" s="128" t="inlineStr">
        <is>
          <t>GCash</t>
        </is>
      </c>
      <c r="G202" s="127" t="n"/>
    </row>
    <row r="203" ht="15" customHeight="1" s="77">
      <c r="A203" s="126" t="n">
        <v>46149</v>
      </c>
      <c r="B203" s="127" t="inlineStr">
        <is>
          <t>Spotify Premium</t>
        </is>
      </c>
      <c r="C203" s="127" t="inlineStr">
        <is>
          <t>Subscriptions</t>
        </is>
      </c>
      <c r="D203" s="128" t="inlineStr">
        <is>
          <t>Expense</t>
        </is>
      </c>
      <c r="E203" s="129" t="n">
        <v>194</v>
      </c>
      <c r="F203" s="128" t="inlineStr">
        <is>
          <t>Credit Card</t>
        </is>
      </c>
      <c r="G203" s="127" t="n"/>
    </row>
    <row r="204" ht="15" customHeight="1" s="77">
      <c r="A204" s="126" t="n">
        <v>46151</v>
      </c>
      <c r="B204" s="127" t="inlineStr">
        <is>
          <t>iCloud+ storage</t>
        </is>
      </c>
      <c r="C204" s="127" t="inlineStr">
        <is>
          <t>Subscriptions</t>
        </is>
      </c>
      <c r="D204" s="128" t="inlineStr">
        <is>
          <t>Expense</t>
        </is>
      </c>
      <c r="E204" s="129" t="n">
        <v>99</v>
      </c>
      <c r="F204" s="128" t="inlineStr">
        <is>
          <t>Credit Card</t>
        </is>
      </c>
      <c r="G204" s="127" t="n"/>
    </row>
    <row r="205" ht="15" customHeight="1" s="77">
      <c r="A205" s="126" t="n">
        <v>46152</v>
      </c>
      <c r="B205" s="127" t="inlineStr">
        <is>
          <t>Meralco electricity</t>
        </is>
      </c>
      <c r="C205" s="127" t="inlineStr">
        <is>
          <t>Utilities</t>
        </is>
      </c>
      <c r="D205" s="128" t="inlineStr">
        <is>
          <t>Expense</t>
        </is>
      </c>
      <c r="E205" s="129" t="n">
        <v>3375</v>
      </c>
      <c r="F205" s="128" t="inlineStr">
        <is>
          <t>GCash</t>
        </is>
      </c>
      <c r="G205" s="127" t="n"/>
    </row>
    <row r="206" ht="15" customHeight="1" s="77">
      <c r="A206" s="126" t="n">
        <v>46152</v>
      </c>
      <c r="B206" s="127" t="inlineStr">
        <is>
          <t>Parking</t>
        </is>
      </c>
      <c r="C206" s="127" t="inlineStr">
        <is>
          <t>Miscellaneous</t>
        </is>
      </c>
      <c r="D206" s="128" t="inlineStr">
        <is>
          <t>Expense</t>
        </is>
      </c>
      <c r="E206" s="129" t="n">
        <v>448</v>
      </c>
      <c r="F206" s="128" t="inlineStr">
        <is>
          <t>Cash</t>
        </is>
      </c>
      <c r="G206" s="127" t="n"/>
    </row>
    <row r="207" ht="15" customHeight="1" s="77">
      <c r="A207" s="126" t="n">
        <v>46153</v>
      </c>
      <c r="B207" s="127" t="inlineStr">
        <is>
          <t>Ramen — Mendokoro</t>
        </is>
      </c>
      <c r="C207" s="127" t="inlineStr">
        <is>
          <t>Dining Out</t>
        </is>
      </c>
      <c r="D207" s="128" t="inlineStr">
        <is>
          <t>Expense</t>
        </is>
      </c>
      <c r="E207" s="129" t="n">
        <v>1500</v>
      </c>
      <c r="F207" s="128" t="inlineStr">
        <is>
          <t>Cash</t>
        </is>
      </c>
      <c r="G207" s="127" t="n"/>
    </row>
    <row r="208" ht="15" customHeight="1" s="77">
      <c r="A208" s="126" t="n">
        <v>46154</v>
      </c>
      <c r="B208" s="127" t="inlineStr">
        <is>
          <t>Manila Water</t>
        </is>
      </c>
      <c r="C208" s="127" t="inlineStr">
        <is>
          <t>Utilities</t>
        </is>
      </c>
      <c r="D208" s="128" t="inlineStr">
        <is>
          <t>Expense</t>
        </is>
      </c>
      <c r="E208" s="129" t="n">
        <v>486</v>
      </c>
      <c r="F208" s="128" t="inlineStr">
        <is>
          <t>GCash</t>
        </is>
      </c>
      <c r="G208" s="127" t="n"/>
    </row>
    <row r="209" ht="15" customHeight="1" s="77">
      <c r="A209" s="126" t="n">
        <v>46157</v>
      </c>
      <c r="B209" s="127" t="inlineStr">
        <is>
          <t>PLDT Home Fibr</t>
        </is>
      </c>
      <c r="C209" s="127" t="inlineStr">
        <is>
          <t>Utilities</t>
        </is>
      </c>
      <c r="D209" s="128" t="inlineStr">
        <is>
          <t>Expense</t>
        </is>
      </c>
      <c r="E209" s="129" t="n">
        <v>1699</v>
      </c>
      <c r="F209" s="128" t="inlineStr">
        <is>
          <t>Credit Card</t>
        </is>
      </c>
      <c r="G209" s="127" t="n"/>
    </row>
    <row r="210" ht="15" customHeight="1" s="77">
      <c r="A210" s="126" t="n">
        <v>46157</v>
      </c>
      <c r="B210" s="127" t="inlineStr">
        <is>
          <t>Concert ticket (split)</t>
        </is>
      </c>
      <c r="C210" s="127" t="inlineStr">
        <is>
          <t>Entertainment</t>
        </is>
      </c>
      <c r="D210" s="128" t="inlineStr">
        <is>
          <t>Expense</t>
        </is>
      </c>
      <c r="E210" s="129" t="n">
        <v>350</v>
      </c>
      <c r="F210" s="128" t="inlineStr">
        <is>
          <t>Credit Card</t>
        </is>
      </c>
      <c r="G210" s="127" t="n"/>
    </row>
    <row r="211" ht="15" customHeight="1" s="77">
      <c r="A211" s="126" t="n">
        <v>46159</v>
      </c>
      <c r="B211" s="127" t="inlineStr">
        <is>
          <t>SM Supermarket run</t>
        </is>
      </c>
      <c r="C211" s="127" t="inlineStr">
        <is>
          <t>Groceries</t>
        </is>
      </c>
      <c r="D211" s="128" t="inlineStr">
        <is>
          <t>Expense</t>
        </is>
      </c>
      <c r="E211" s="129" t="n">
        <v>3213</v>
      </c>
      <c r="F211" s="128" t="inlineStr">
        <is>
          <t>GCash</t>
        </is>
      </c>
      <c r="G211" s="127" t="n"/>
    </row>
    <row r="212" ht="15" customHeight="1" s="77">
      <c r="A212" s="126" t="n">
        <v>46160</v>
      </c>
      <c r="B212" s="127" t="inlineStr">
        <is>
          <t>Landers grocery haul</t>
        </is>
      </c>
      <c r="C212" s="127" t="inlineStr">
        <is>
          <t>Groceries</t>
        </is>
      </c>
      <c r="D212" s="128" t="inlineStr">
        <is>
          <t>Expense</t>
        </is>
      </c>
      <c r="E212" s="129" t="n">
        <v>2605</v>
      </c>
      <c r="F212" s="128" t="inlineStr">
        <is>
          <t>GCash</t>
        </is>
      </c>
      <c r="G212" s="127" t="n"/>
    </row>
    <row r="213" ht="15" customHeight="1" s="77">
      <c r="A213" s="126" t="n">
        <v>46160</v>
      </c>
      <c r="B213" s="127" t="inlineStr">
        <is>
          <t>Cinema — SM North EDSA</t>
        </is>
      </c>
      <c r="C213" s="127" t="inlineStr">
        <is>
          <t>Entertainment</t>
        </is>
      </c>
      <c r="D213" s="128" t="inlineStr">
        <is>
          <t>Expense</t>
        </is>
      </c>
      <c r="E213" s="129" t="n">
        <v>1042</v>
      </c>
      <c r="F213" s="128" t="inlineStr">
        <is>
          <t>Credit Card</t>
        </is>
      </c>
      <c r="G213" s="127" t="n"/>
    </row>
    <row r="214" ht="15" customHeight="1" s="77">
      <c r="A214" s="126" t="n">
        <v>46161</v>
      </c>
      <c r="B214" s="127" t="inlineStr">
        <is>
          <t>Dental cleaning</t>
        </is>
      </c>
      <c r="C214" s="127" t="inlineStr">
        <is>
          <t>Health &amp; Fitness</t>
        </is>
      </c>
      <c r="D214" s="128" t="inlineStr">
        <is>
          <t>Expense</t>
        </is>
      </c>
      <c r="E214" s="129" t="n">
        <v>1151</v>
      </c>
      <c r="F214" s="128" t="inlineStr">
        <is>
          <t>Cash</t>
        </is>
      </c>
      <c r="G214" s="127" t="n"/>
    </row>
    <row r="215" ht="15" customHeight="1" s="77">
      <c r="A215" s="126" t="n">
        <v>46162</v>
      </c>
      <c r="B215" s="127" t="inlineStr">
        <is>
          <t>Beep card top-up</t>
        </is>
      </c>
      <c r="C215" s="127" t="inlineStr">
        <is>
          <t>Transportation</t>
        </is>
      </c>
      <c r="D215" s="128" t="inlineStr">
        <is>
          <t>Expense</t>
        </is>
      </c>
      <c r="E215" s="129" t="n">
        <v>343</v>
      </c>
      <c r="F215" s="128" t="inlineStr">
        <is>
          <t>Cash</t>
        </is>
      </c>
      <c r="G215" s="127" t="n"/>
    </row>
    <row r="216" ht="15" customHeight="1" s="77">
      <c r="A216" s="126" t="n">
        <v>46162</v>
      </c>
      <c r="B216" s="127" t="inlineStr">
        <is>
          <t>Samgyup night out</t>
        </is>
      </c>
      <c r="C216" s="127" t="inlineStr">
        <is>
          <t>Dining Out</t>
        </is>
      </c>
      <c r="D216" s="128" t="inlineStr">
        <is>
          <t>Expense</t>
        </is>
      </c>
      <c r="E216" s="129" t="n">
        <v>484</v>
      </c>
      <c r="F216" s="128" t="inlineStr">
        <is>
          <t>Credit Card</t>
        </is>
      </c>
      <c r="G216" s="127" t="n"/>
    </row>
    <row r="217" ht="15" customHeight="1" s="77">
      <c r="A217" s="126" t="n">
        <v>46164</v>
      </c>
      <c r="B217" s="127" t="inlineStr">
        <is>
          <t>Grab rides</t>
        </is>
      </c>
      <c r="C217" s="127" t="inlineStr">
        <is>
          <t>Transportation</t>
        </is>
      </c>
      <c r="D217" s="128" t="inlineStr">
        <is>
          <t>Expense</t>
        </is>
      </c>
      <c r="E217" s="129" t="n">
        <v>274</v>
      </c>
      <c r="F217" s="128" t="inlineStr">
        <is>
          <t>GCash</t>
        </is>
      </c>
      <c r="G217" s="127" t="n"/>
    </row>
    <row r="218" ht="15" customHeight="1" s="77">
      <c r="A218" s="126" t="n">
        <v>46166</v>
      </c>
      <c r="B218" s="127" t="inlineStr">
        <is>
          <t>Side gig — photo editing</t>
        </is>
      </c>
      <c r="C218" s="127" t="inlineStr">
        <is>
          <t>Freelance</t>
        </is>
      </c>
      <c r="D218" s="128" t="inlineStr">
        <is>
          <t>Income</t>
        </is>
      </c>
      <c r="E218" s="129" t="n">
        <v>6500</v>
      </c>
      <c r="F218" s="128" t="inlineStr">
        <is>
          <t>GCash</t>
        </is>
      </c>
      <c r="G218" s="127" t="n"/>
    </row>
    <row r="219" ht="15" customHeight="1" s="77">
      <c r="A219" s="126" t="n">
        <v>46169</v>
      </c>
      <c r="B219" s="127" t="inlineStr">
        <is>
          <t>Coffee — % Arabica</t>
        </is>
      </c>
      <c r="C219" s="127" t="inlineStr">
        <is>
          <t>Dining Out</t>
        </is>
      </c>
      <c r="D219" s="128" t="inlineStr">
        <is>
          <t>Expense</t>
        </is>
      </c>
      <c r="E219" s="129" t="n">
        <v>412</v>
      </c>
      <c r="F219" s="128" t="inlineStr">
        <is>
          <t>Cash</t>
        </is>
      </c>
      <c r="G219" s="127" t="n"/>
    </row>
    <row r="220" ht="15" customHeight="1" s="77">
      <c r="A220" s="126" t="n">
        <v>46174</v>
      </c>
      <c r="B220" s="127" t="inlineStr">
        <is>
          <t>Apartment rent</t>
        </is>
      </c>
      <c r="C220" s="127" t="inlineStr">
        <is>
          <t>Housing</t>
        </is>
      </c>
      <c r="D220" s="128" t="inlineStr">
        <is>
          <t>Expense</t>
        </is>
      </c>
      <c r="E220" s="129" t="n">
        <v>18000</v>
      </c>
      <c r="F220" s="128" t="inlineStr">
        <is>
          <t>BPI Checking</t>
        </is>
      </c>
      <c r="G220" s="127" t="n"/>
    </row>
    <row r="221" ht="15" customHeight="1" s="77">
      <c r="A221" s="126" t="n">
        <v>46175</v>
      </c>
      <c r="B221" s="127" t="inlineStr">
        <is>
          <t>Anytime Fitness membership</t>
        </is>
      </c>
      <c r="C221" s="127" t="inlineStr">
        <is>
          <t>Health &amp; Fitness</t>
        </is>
      </c>
      <c r="D221" s="128" t="inlineStr">
        <is>
          <t>Expense</t>
        </is>
      </c>
      <c r="E221" s="129" t="n">
        <v>1500</v>
      </c>
      <c r="F221" s="128" t="inlineStr">
        <is>
          <t>Credit Card</t>
        </is>
      </c>
      <c r="G221" s="127" t="n"/>
    </row>
    <row r="222" ht="15" customHeight="1" s="77">
      <c r="A222" s="126" t="n">
        <v>46176</v>
      </c>
      <c r="B222" s="127" t="inlineStr">
        <is>
          <t>Netflix</t>
        </is>
      </c>
      <c r="C222" s="127" t="inlineStr">
        <is>
          <t>Subscriptions</t>
        </is>
      </c>
      <c r="D222" s="128" t="inlineStr">
        <is>
          <t>Expense</t>
        </is>
      </c>
      <c r="E222" s="129" t="n">
        <v>549</v>
      </c>
      <c r="F222" s="128" t="inlineStr">
        <is>
          <t>Credit Card</t>
        </is>
      </c>
      <c r="G222" s="127" t="n"/>
    </row>
    <row r="223" ht="15" customHeight="1" s="77">
      <c r="A223" s="126" t="n">
        <v>46178</v>
      </c>
      <c r="B223" s="127" t="inlineStr">
        <is>
          <t>Monthly salary — payroll</t>
        </is>
      </c>
      <c r="C223" s="127" t="inlineStr">
        <is>
          <t>Salary</t>
        </is>
      </c>
      <c r="D223" s="128" t="inlineStr">
        <is>
          <t>Income</t>
        </is>
      </c>
      <c r="E223" s="129" t="n">
        <v>72000</v>
      </c>
      <c r="F223" s="128" t="inlineStr">
        <is>
          <t>BPI Checking</t>
        </is>
      </c>
      <c r="G223" s="127" t="n"/>
    </row>
    <row r="224" ht="15" customHeight="1" s="77">
      <c r="A224" s="126" t="n">
        <v>46179</v>
      </c>
      <c r="B224" s="127" t="inlineStr">
        <is>
          <t>Beep card top-up</t>
        </is>
      </c>
      <c r="C224" s="127" t="inlineStr">
        <is>
          <t>Transportation</t>
        </is>
      </c>
      <c r="D224" s="128" t="inlineStr">
        <is>
          <t>Expense</t>
        </is>
      </c>
      <c r="E224" s="129" t="n">
        <v>300</v>
      </c>
      <c r="F224" s="128" t="inlineStr">
        <is>
          <t>Cash</t>
        </is>
      </c>
      <c r="G224" s="127" t="n"/>
    </row>
    <row r="225" ht="15" customHeight="1" s="77">
      <c r="A225" s="126" t="n">
        <v>46180</v>
      </c>
      <c r="B225" s="127" t="inlineStr">
        <is>
          <t>Spotify Premium</t>
        </is>
      </c>
      <c r="C225" s="127" t="inlineStr">
        <is>
          <t>Subscriptions</t>
        </is>
      </c>
      <c r="D225" s="128" t="inlineStr">
        <is>
          <t>Expense</t>
        </is>
      </c>
      <c r="E225" s="129" t="n">
        <v>194</v>
      </c>
      <c r="F225" s="128" t="inlineStr">
        <is>
          <t>Credit Card</t>
        </is>
      </c>
      <c r="G225" s="127" t="n"/>
    </row>
    <row r="226" ht="15" customHeight="1" s="77">
      <c r="A226" s="126" t="n">
        <v>46181</v>
      </c>
      <c r="B226" s="127" t="inlineStr">
        <is>
          <t>Grab rides</t>
        </is>
      </c>
      <c r="C226" s="127" t="inlineStr">
        <is>
          <t>Transportation</t>
        </is>
      </c>
      <c r="D226" s="128" t="inlineStr">
        <is>
          <t>Expense</t>
        </is>
      </c>
      <c r="E226" s="129" t="n">
        <v>519</v>
      </c>
      <c r="F226" s="128" t="inlineStr">
        <is>
          <t>GCash</t>
        </is>
      </c>
      <c r="G226" s="127" t="n"/>
    </row>
    <row r="227" ht="15" customHeight="1" s="77">
      <c r="A227" s="126" t="n">
        <v>46182</v>
      </c>
      <c r="B227" s="127" t="inlineStr">
        <is>
          <t>iCloud+ storage</t>
        </is>
      </c>
      <c r="C227" s="127" t="inlineStr">
        <is>
          <t>Subscriptions</t>
        </is>
      </c>
      <c r="D227" s="128" t="inlineStr">
        <is>
          <t>Expense</t>
        </is>
      </c>
      <c r="E227" s="129" t="n">
        <v>99</v>
      </c>
      <c r="F227" s="128" t="inlineStr">
        <is>
          <t>Credit Card</t>
        </is>
      </c>
      <c r="G227" s="127" t="n"/>
    </row>
    <row r="228" ht="15" customHeight="1" s="77">
      <c r="A228" s="126" t="n">
        <v>46183</v>
      </c>
      <c r="B228" s="127" t="inlineStr">
        <is>
          <t>Meralco electricity</t>
        </is>
      </c>
      <c r="C228" s="127" t="inlineStr">
        <is>
          <t>Utilities</t>
        </is>
      </c>
      <c r="D228" s="128" t="inlineStr">
        <is>
          <t>Expense</t>
        </is>
      </c>
      <c r="E228" s="129" t="n">
        <v>2499</v>
      </c>
      <c r="F228" s="128" t="inlineStr">
        <is>
          <t>GCash</t>
        </is>
      </c>
      <c r="G228" s="127" t="n"/>
    </row>
    <row r="229" ht="15" customHeight="1" s="77">
      <c r="A229" s="126" t="n">
        <v>46183</v>
      </c>
      <c r="B229" s="127" t="inlineStr">
        <is>
          <t>Uniqlo</t>
        </is>
      </c>
      <c r="C229" s="127" t="inlineStr">
        <is>
          <t>Shopping</t>
        </is>
      </c>
      <c r="D229" s="128" t="inlineStr">
        <is>
          <t>Expense</t>
        </is>
      </c>
      <c r="E229" s="129" t="n">
        <v>1410</v>
      </c>
      <c r="F229" s="128" t="inlineStr">
        <is>
          <t>Credit Card</t>
        </is>
      </c>
      <c r="G229" s="127" t="n"/>
    </row>
    <row r="230" ht="15" customHeight="1" s="77">
      <c r="A230" s="126" t="n">
        <v>46185</v>
      </c>
      <c r="B230" s="127" t="inlineStr">
        <is>
          <t>Manila Water</t>
        </is>
      </c>
      <c r="C230" s="127" t="inlineStr">
        <is>
          <t>Utilities</t>
        </is>
      </c>
      <c r="D230" s="128" t="inlineStr">
        <is>
          <t>Expense</t>
        </is>
      </c>
      <c r="E230" s="129" t="n">
        <v>489</v>
      </c>
      <c r="F230" s="128" t="inlineStr">
        <is>
          <t>GCash</t>
        </is>
      </c>
      <c r="G230" s="127" t="n"/>
    </row>
    <row r="231" ht="15" customHeight="1" s="77">
      <c r="A231" s="126" t="n">
        <v>46185</v>
      </c>
      <c r="B231" s="127" t="inlineStr">
        <is>
          <t>Decathlon</t>
        </is>
      </c>
      <c r="C231" s="127" t="inlineStr">
        <is>
          <t>Shopping</t>
        </is>
      </c>
      <c r="D231" s="128" t="inlineStr">
        <is>
          <t>Expense</t>
        </is>
      </c>
      <c r="E231" s="129" t="n">
        <v>2270</v>
      </c>
      <c r="F231" s="128" t="inlineStr">
        <is>
          <t>GCash</t>
        </is>
      </c>
      <c r="G231" s="127" t="n"/>
    </row>
    <row r="232" ht="15" customHeight="1" s="77">
      <c r="A232" s="126" t="n">
        <v>46186</v>
      </c>
      <c r="B232" s="127" t="inlineStr">
        <is>
          <t>SM Supermarket run</t>
        </is>
      </c>
      <c r="C232" s="127" t="inlineStr">
        <is>
          <t>Groceries</t>
        </is>
      </c>
      <c r="D232" s="128" t="inlineStr">
        <is>
          <t>Expense</t>
        </is>
      </c>
      <c r="E232" s="129" t="n">
        <v>2257</v>
      </c>
      <c r="F232" s="128" t="inlineStr">
        <is>
          <t>GCash</t>
        </is>
      </c>
      <c r="G232" s="127" t="n"/>
    </row>
    <row r="233" ht="15" customHeight="1" s="77">
      <c r="A233" s="126" t="n">
        <v>46186</v>
      </c>
      <c r="B233" s="127" t="inlineStr">
        <is>
          <t>Milk tea run</t>
        </is>
      </c>
      <c r="C233" s="127" t="inlineStr">
        <is>
          <t>Dining Out</t>
        </is>
      </c>
      <c r="D233" s="128" t="inlineStr">
        <is>
          <t>Expense</t>
        </is>
      </c>
      <c r="E233" s="129" t="n">
        <v>1265</v>
      </c>
      <c r="F233" s="128" t="inlineStr">
        <is>
          <t>Credit Card</t>
        </is>
      </c>
      <c r="G233" s="127" t="n"/>
    </row>
    <row r="234" ht="15" customHeight="1" s="77">
      <c r="A234" s="126" t="n">
        <v>46188</v>
      </c>
      <c r="B234" s="127" t="inlineStr">
        <is>
          <t>PLDT Home Fibr</t>
        </is>
      </c>
      <c r="C234" s="127" t="inlineStr">
        <is>
          <t>Utilities</t>
        </is>
      </c>
      <c r="D234" s="128" t="inlineStr">
        <is>
          <t>Expense</t>
        </is>
      </c>
      <c r="E234" s="129" t="n">
        <v>1699</v>
      </c>
      <c r="F234" s="128" t="inlineStr">
        <is>
          <t>Credit Card</t>
        </is>
      </c>
      <c r="G234" s="127" t="n"/>
    </row>
    <row r="235" ht="15" customHeight="1" s="77">
      <c r="A235" s="126" t="n">
        <v>46188</v>
      </c>
      <c r="B235" s="127" t="inlineStr">
        <is>
          <t>WalterMart groceries</t>
        </is>
      </c>
      <c r="C235" s="127" t="inlineStr">
        <is>
          <t>Groceries</t>
        </is>
      </c>
      <c r="D235" s="128" t="inlineStr">
        <is>
          <t>Expense</t>
        </is>
      </c>
      <c r="E235" s="129" t="n">
        <v>2224</v>
      </c>
      <c r="F235" s="128" t="inlineStr">
        <is>
          <t>Credit Card</t>
        </is>
      </c>
      <c r="G235" s="127" t="n"/>
    </row>
    <row r="236" ht="15" customHeight="1" s="77">
      <c r="A236" s="126" t="n">
        <v>46193</v>
      </c>
      <c r="B236" s="127" t="inlineStr">
        <is>
          <t>Angkas to Makati</t>
        </is>
      </c>
      <c r="C236" s="127" t="inlineStr">
        <is>
          <t>Transportation</t>
        </is>
      </c>
      <c r="D236" s="128" t="inlineStr">
        <is>
          <t>Expense</t>
        </is>
      </c>
      <c r="E236" s="129" t="n">
        <v>496</v>
      </c>
      <c r="F236" s="128" t="inlineStr">
        <is>
          <t>Cash</t>
        </is>
      </c>
      <c r="G236" s="127" t="n"/>
    </row>
    <row r="237" ht="15" customHeight="1" s="77">
      <c r="A237" s="126" t="n">
        <v>46194</v>
      </c>
      <c r="B237" s="127" t="inlineStr">
        <is>
          <t>Side gig — photo editing</t>
        </is>
      </c>
      <c r="C237" s="127" t="inlineStr">
        <is>
          <t>Freelance</t>
        </is>
      </c>
      <c r="D237" s="128" t="inlineStr">
        <is>
          <t>Income</t>
        </is>
      </c>
      <c r="E237" s="129" t="n">
        <v>10500</v>
      </c>
      <c r="F237" s="128" t="inlineStr">
        <is>
          <t>GCash</t>
        </is>
      </c>
      <c r="G237" s="127" t="n"/>
    </row>
    <row r="238" ht="15" customHeight="1" s="77">
      <c r="A238" s="126" t="n">
        <v>46194</v>
      </c>
      <c r="B238" s="127" t="inlineStr">
        <is>
          <t>Puregold groceries</t>
        </is>
      </c>
      <c r="C238" s="127" t="inlineStr">
        <is>
          <t>Groceries</t>
        </is>
      </c>
      <c r="D238" s="128" t="inlineStr">
        <is>
          <t>Expense</t>
        </is>
      </c>
      <c r="E238" s="129" t="n">
        <v>2695</v>
      </c>
      <c r="F238" s="128" t="inlineStr">
        <is>
          <t>Credit Card</t>
        </is>
      </c>
      <c r="G238" s="127" t="n"/>
    </row>
    <row r="239" ht="15" customHeight="1" s="77">
      <c r="A239" s="126" t="n">
        <v>46195</v>
      </c>
      <c r="B239" s="127" t="inlineStr">
        <is>
          <t>Milk tea run</t>
        </is>
      </c>
      <c r="C239" s="127" t="inlineStr">
        <is>
          <t>Dining Out</t>
        </is>
      </c>
      <c r="D239" s="128" t="inlineStr">
        <is>
          <t>Expense</t>
        </is>
      </c>
      <c r="E239" s="129" t="n">
        <v>649</v>
      </c>
      <c r="F239" s="128" t="inlineStr">
        <is>
          <t>Cash</t>
        </is>
      </c>
      <c r="G239" s="127" t="n"/>
    </row>
    <row r="240" ht="15" customHeight="1" s="77">
      <c r="A240" s="126" t="n">
        <v>46195</v>
      </c>
      <c r="B240" s="127" t="inlineStr">
        <is>
          <t>Milk tea run</t>
        </is>
      </c>
      <c r="C240" s="127" t="inlineStr">
        <is>
          <t>Dining Out</t>
        </is>
      </c>
      <c r="D240" s="128" t="inlineStr">
        <is>
          <t>Expense</t>
        </is>
      </c>
      <c r="E240" s="129" t="n">
        <v>675</v>
      </c>
      <c r="F240" s="128" t="inlineStr">
        <is>
          <t>Credit Card</t>
        </is>
      </c>
      <c r="G240" s="127" t="n"/>
    </row>
    <row r="241" ht="15" customHeight="1" s="77">
      <c r="A241" s="126" t="n">
        <v>46204</v>
      </c>
      <c r="B241" s="127" t="inlineStr">
        <is>
          <t>Apartment rent</t>
        </is>
      </c>
      <c r="C241" s="127" t="inlineStr">
        <is>
          <t>Housing</t>
        </is>
      </c>
      <c r="D241" s="128" t="inlineStr">
        <is>
          <t>Expense</t>
        </is>
      </c>
      <c r="E241" s="129" t="n">
        <v>18000</v>
      </c>
      <c r="F241" s="128" t="inlineStr">
        <is>
          <t>BPI Checking</t>
        </is>
      </c>
      <c r="G241" s="127" t="n"/>
    </row>
    <row r="242" ht="15" customHeight="1" s="77">
      <c r="A242" s="126" t="n">
        <v>46205</v>
      </c>
      <c r="B242" s="127" t="inlineStr">
        <is>
          <t>Anytime Fitness membership</t>
        </is>
      </c>
      <c r="C242" s="127" t="inlineStr">
        <is>
          <t>Health &amp; Fitness</t>
        </is>
      </c>
      <c r="D242" s="128" t="inlineStr">
        <is>
          <t>Expense</t>
        </is>
      </c>
      <c r="E242" s="129" t="n">
        <v>1500</v>
      </c>
      <c r="F242" s="128" t="inlineStr">
        <is>
          <t>Credit Card</t>
        </is>
      </c>
      <c r="G242" s="127" t="n"/>
    </row>
    <row r="243" ht="15" customHeight="1" s="77">
      <c r="A243" s="126" t="n">
        <v>46206</v>
      </c>
      <c r="B243" s="127" t="inlineStr">
        <is>
          <t>Netflix</t>
        </is>
      </c>
      <c r="C243" s="127" t="inlineStr">
        <is>
          <t>Subscriptions</t>
        </is>
      </c>
      <c r="D243" s="128" t="inlineStr">
        <is>
          <t>Expense</t>
        </is>
      </c>
      <c r="E243" s="129" t="n">
        <v>549</v>
      </c>
      <c r="F243" s="128" t="inlineStr">
        <is>
          <t>Credit Card</t>
        </is>
      </c>
      <c r="G243" s="127" t="n"/>
    </row>
    <row r="244" ht="15" customHeight="1" s="77">
      <c r="A244" s="126" t="n">
        <v>46206</v>
      </c>
      <c r="B244" s="127" t="inlineStr">
        <is>
          <t>SM Supermarket run</t>
        </is>
      </c>
      <c r="C244" s="127" t="inlineStr">
        <is>
          <t>Groceries</t>
        </is>
      </c>
      <c r="D244" s="128" t="inlineStr">
        <is>
          <t>Expense</t>
        </is>
      </c>
      <c r="E244" s="129" t="n">
        <v>2380</v>
      </c>
      <c r="F244" s="128" t="inlineStr">
        <is>
          <t>GCash</t>
        </is>
      </c>
      <c r="G244" s="127" t="n"/>
    </row>
    <row r="245" ht="15" customHeight="1" s="77">
      <c r="A245" s="126" t="n">
        <v>46208</v>
      </c>
      <c r="B245" s="127" t="inlineStr">
        <is>
          <t>Monthly salary — payroll</t>
        </is>
      </c>
      <c r="C245" s="127" t="inlineStr">
        <is>
          <t>Salary</t>
        </is>
      </c>
      <c r="D245" s="128" t="inlineStr">
        <is>
          <t>Income</t>
        </is>
      </c>
      <c r="E245" s="129" t="n">
        <v>72000</v>
      </c>
      <c r="F245" s="128" t="inlineStr">
        <is>
          <t>BPI Checking</t>
        </is>
      </c>
      <c r="G245" s="127" t="n"/>
    </row>
    <row r="246" ht="15" customHeight="1" s="77">
      <c r="A246" s="126" t="n">
        <v>46210</v>
      </c>
      <c r="B246" s="127" t="inlineStr">
        <is>
          <t>Spotify Premium</t>
        </is>
      </c>
      <c r="C246" s="127" t="inlineStr">
        <is>
          <t>Subscriptions</t>
        </is>
      </c>
      <c r="D246" s="128" t="inlineStr">
        <is>
          <t>Expense</t>
        </is>
      </c>
      <c r="E246" s="129" t="n">
        <v>194</v>
      </c>
      <c r="F246" s="128" t="inlineStr">
        <is>
          <t>Credit Card</t>
        </is>
      </c>
      <c r="G246" s="127" t="n"/>
    </row>
    <row r="247" ht="15" customHeight="1" s="77">
      <c r="A247" s="126" t="n">
        <v>46211</v>
      </c>
      <c r="B247" s="127" t="inlineStr">
        <is>
          <t>Ramen — Mendokoro</t>
        </is>
      </c>
      <c r="C247" s="127" t="inlineStr">
        <is>
          <t>Dining Out</t>
        </is>
      </c>
      <c r="D247" s="128" t="inlineStr">
        <is>
          <t>Expense</t>
        </is>
      </c>
      <c r="E247" s="129" t="n">
        <v>1086</v>
      </c>
      <c r="F247" s="128" t="inlineStr">
        <is>
          <t>Cash</t>
        </is>
      </c>
      <c r="G247" s="127" t="n"/>
    </row>
    <row r="248" ht="15" customHeight="1" s="77">
      <c r="A248" s="126" t="n">
        <v>46212</v>
      </c>
      <c r="B248" s="127" t="inlineStr">
        <is>
          <t>iCloud+ storage</t>
        </is>
      </c>
      <c r="C248" s="127" t="inlineStr">
        <is>
          <t>Subscriptions</t>
        </is>
      </c>
      <c r="D248" s="128" t="inlineStr">
        <is>
          <t>Expense</t>
        </is>
      </c>
      <c r="E248" s="129" t="n">
        <v>99</v>
      </c>
      <c r="F248" s="128" t="inlineStr">
        <is>
          <t>Credit Card</t>
        </is>
      </c>
      <c r="G248" s="127" t="n"/>
    </row>
    <row r="249" ht="15" customHeight="1" s="77">
      <c r="A249" s="126" t="n">
        <v>46213</v>
      </c>
      <c r="B249" s="127" t="inlineStr">
        <is>
          <t>Meralco electricity</t>
        </is>
      </c>
      <c r="C249" s="127" t="inlineStr">
        <is>
          <t>Utilities</t>
        </is>
      </c>
      <c r="D249" s="128" t="inlineStr">
        <is>
          <t>Expense</t>
        </is>
      </c>
      <c r="E249" s="129" t="n">
        <v>3175</v>
      </c>
      <c r="F249" s="128" t="inlineStr">
        <is>
          <t>GCash</t>
        </is>
      </c>
      <c r="G249" s="127" t="n"/>
    </row>
    <row r="250" ht="15" customHeight="1" s="77">
      <c r="A250" s="126" t="n">
        <v>46214</v>
      </c>
      <c r="B250" s="127" t="inlineStr">
        <is>
          <t>Beep card top-up</t>
        </is>
      </c>
      <c r="C250" s="127" t="inlineStr">
        <is>
          <t>Transportation</t>
        </is>
      </c>
      <c r="D250" s="128" t="inlineStr">
        <is>
          <t>Expense</t>
        </is>
      </c>
      <c r="E250" s="129" t="n">
        <v>578</v>
      </c>
      <c r="F250" s="128" t="inlineStr">
        <is>
          <t>Cash</t>
        </is>
      </c>
      <c r="G250" s="127" t="n"/>
    </row>
    <row r="251" ht="15" customHeight="1" s="77">
      <c r="A251" s="126" t="n">
        <v>46215</v>
      </c>
      <c r="B251" s="127" t="inlineStr">
        <is>
          <t>Manila Water</t>
        </is>
      </c>
      <c r="C251" s="127" t="inlineStr">
        <is>
          <t>Utilities</t>
        </is>
      </c>
      <c r="D251" s="128" t="inlineStr">
        <is>
          <t>Expense</t>
        </is>
      </c>
      <c r="E251" s="129" t="n">
        <v>508</v>
      </c>
      <c r="F251" s="128" t="inlineStr">
        <is>
          <t>GCash</t>
        </is>
      </c>
      <c r="G251" s="127" t="n"/>
    </row>
  </sheetData>
  <conditionalFormatting sqref="A2:G600">
    <cfRule type="expression" rank="0" priority="2" equalAverage="0" aboveAverage="0" dxfId="2" text="" percent="0" bottom="0">
      <formula>MOD(ROW(),2)=0</formula>
    </cfRule>
  </conditionalFormatting>
  <conditionalFormatting sqref="E2:E600">
    <cfRule type="expression" rank="0" priority="3" equalAverage="0" aboveAverage="0" dxfId="3" text="" percent="0" bottom="0">
      <formula>$D2="Income"</formula>
    </cfRule>
  </conditionalFormatting>
  <conditionalFormatting sqref="D2:D600">
    <cfRule type="expression" rank="0" priority="4" equalAverage="0" aboveAverage="0" dxfId="4" text="" percent="0" bottom="0">
      <formula>$D2="Income"</formula>
    </cfRule>
  </conditionalFormatting>
  <dataValidations count="3">
    <dataValidation sqref="C2:C600" showDropDown="0" showInputMessage="0" showErrorMessage="0" allowBlank="1" type="list" errorStyle="stop" operator="between">
      <formula1>CategoryList</formula1>
      <formula2>0</formula2>
    </dataValidation>
    <dataValidation sqref="D2:D600" showDropDown="0" showInputMessage="0" showErrorMessage="0" allowBlank="1" type="list" errorStyle="stop" operator="between">
      <formula1>"Income,Expense"</formula1>
      <formula2>0</formula2>
    </dataValidation>
    <dataValidation sqref="F2:F600" showDropDown="0" showInputMessage="0" showErrorMessage="0" allowBlank="1" type="list" errorStyle="stop" operator="between">
      <formula1>AccountList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tabColor rgb="FF64748B"/>
    <outlinePr summaryBelow="1" summaryRight="1"/>
    <pageSetUpPr fitToPage="0"/>
  </sheetPr>
  <dimension ref="A1:L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5" customWidth="1" style="76" min="1" max="1"/>
    <col width="20" customWidth="1" style="76" min="2" max="2"/>
    <col width="11" customWidth="1" style="76" min="3" max="3"/>
    <col width="16" customWidth="1" style="76" min="4" max="4"/>
    <col width="3" customWidth="1" style="76" min="5" max="5"/>
    <col width="16" customWidth="1" style="76" min="6" max="6"/>
    <col width="3" customWidth="1" style="76" min="7" max="7"/>
    <col width="18" customWidth="1" style="76" min="8" max="8"/>
    <col width="13" customWidth="1" style="76" min="9" max="10"/>
    <col width="9" customWidth="1" style="76" min="11" max="11"/>
    <col width="3" customWidth="1" style="76" min="12" max="12"/>
  </cols>
  <sheetData>
    <row r="1" ht="25.5" customHeight="1" s="77">
      <c r="A1" s="78" t="n"/>
      <c r="B1" s="130" t="inlineStr">
        <is>
          <t>⚙️  SETTINGS</t>
        </is>
      </c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</row>
    <row r="2" ht="15.75" customHeight="1" s="77">
      <c r="A2" s="78" t="n"/>
      <c r="B2" s="80" t="inlineStr">
        <is>
          <t>Categories, budgets, accounts, and the reporting-period engine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</row>
    <row r="4" ht="15" customHeight="1" s="77">
      <c r="B4" s="131" t="inlineStr">
        <is>
          <t>CATEGORIES &amp; MONTHLY BUDGETS</t>
        </is>
      </c>
      <c r="F4" s="131" t="inlineStr">
        <is>
          <t>ACCOUNTS</t>
        </is>
      </c>
      <c r="H4" s="131" t="inlineStr">
        <is>
          <t>REPORTING PERIODS  ·  engine</t>
        </is>
      </c>
    </row>
    <row r="5" ht="15" customHeight="1" s="77">
      <c r="B5" s="132" t="inlineStr">
        <is>
          <t>Edit the yellow cells. Insert rows inside the table to add categories.</t>
        </is>
      </c>
      <c r="F5" s="132" t="inlineStr">
        <is>
          <t>Used by the Account dropdown.</t>
        </is>
      </c>
      <c r="H5" s="132" t="inlineStr">
        <is>
          <t>Feeds the Dashboard period dropdown — no need to edit.</t>
        </is>
      </c>
    </row>
    <row r="6" ht="15" customHeight="1" s="77">
      <c r="B6" s="133" t="inlineStr">
        <is>
          <t>Category</t>
        </is>
      </c>
      <c r="C6" s="134" t="inlineStr">
        <is>
          <t>Type</t>
        </is>
      </c>
      <c r="D6" s="135" t="inlineStr">
        <is>
          <t>Monthly Budget</t>
        </is>
      </c>
      <c r="F6" s="136" t="inlineStr">
        <is>
          <t>Account</t>
        </is>
      </c>
      <c r="H6" s="133" t="inlineStr">
        <is>
          <t>Period</t>
        </is>
      </c>
      <c r="I6" s="134" t="inlineStr">
        <is>
          <t>Start</t>
        </is>
      </c>
      <c r="J6" s="134" t="inlineStr">
        <is>
          <t>End</t>
        </is>
      </c>
      <c r="K6" s="135" t="inlineStr">
        <is>
          <t>Months</t>
        </is>
      </c>
    </row>
    <row r="7" ht="15" customHeight="1" s="77">
      <c r="B7" s="137" t="inlineStr">
        <is>
          <t>Salary</t>
        </is>
      </c>
      <c r="C7" s="138" t="inlineStr">
        <is>
          <t>Income</t>
        </is>
      </c>
      <c r="D7" s="139" t="n"/>
      <c r="F7" s="140" t="inlineStr">
        <is>
          <t>Cash</t>
        </is>
      </c>
      <c r="H7" s="141" t="inlineStr">
        <is>
          <t>This Month</t>
        </is>
      </c>
      <c r="I7" s="142">
        <f>DATE(YEAR(TODAY()),MONTH(TODAY()),1)</f>
        <v/>
      </c>
      <c r="J7" s="142">
        <f>EOMONTH(TODAY(),0)</f>
        <v/>
      </c>
      <c r="K7" s="143" t="n">
        <v>1</v>
      </c>
    </row>
    <row r="8" ht="15" customHeight="1" s="77">
      <c r="B8" s="144" t="inlineStr">
        <is>
          <t>Freelance</t>
        </is>
      </c>
      <c r="C8" s="145" t="inlineStr">
        <is>
          <t>Income</t>
        </is>
      </c>
      <c r="D8" s="139" t="n"/>
      <c r="F8" s="146" t="inlineStr">
        <is>
          <t>BPI Checking</t>
        </is>
      </c>
      <c r="H8" s="147" t="inlineStr">
        <is>
          <t>Last Month</t>
        </is>
      </c>
      <c r="I8" s="148">
        <f>EOMONTH(TODAY(),-2)+1</f>
        <v/>
      </c>
      <c r="J8" s="148">
        <f>EOMONTH(TODAY(),-1)</f>
        <v/>
      </c>
      <c r="K8" s="149" t="n">
        <v>1</v>
      </c>
    </row>
    <row r="9" ht="15" customHeight="1" s="77">
      <c r="B9" s="137" t="inlineStr">
        <is>
          <t>Investment Income</t>
        </is>
      </c>
      <c r="C9" s="138" t="inlineStr">
        <is>
          <t>Income</t>
        </is>
      </c>
      <c r="D9" s="139" t="n"/>
      <c r="F9" s="140" t="inlineStr">
        <is>
          <t>BDO Savings</t>
        </is>
      </c>
      <c r="H9" s="141" t="inlineStr">
        <is>
          <t>YTD (This Year)</t>
        </is>
      </c>
      <c r="I9" s="142">
        <f>DATE(YEAR(TODAY()),1,1)</f>
        <v/>
      </c>
      <c r="J9" s="142">
        <f>EOMONTH(TODAY(),0)</f>
        <v/>
      </c>
      <c r="K9" s="143">
        <f>MONTH(TODAY())</f>
        <v/>
      </c>
    </row>
    <row r="10" ht="15" customHeight="1" s="77">
      <c r="B10" s="144" t="inlineStr">
        <is>
          <t>Other Income</t>
        </is>
      </c>
      <c r="C10" s="145" t="inlineStr">
        <is>
          <t>Income</t>
        </is>
      </c>
      <c r="D10" s="139" t="n"/>
      <c r="F10" s="146" t="inlineStr">
        <is>
          <t>Credit Card</t>
        </is>
      </c>
      <c r="H10" s="147" t="inlineStr">
        <is>
          <t>Last 12 Months</t>
        </is>
      </c>
      <c r="I10" s="148">
        <f>EOMONTH(TODAY(),-12)+1</f>
        <v/>
      </c>
      <c r="J10" s="148">
        <f>EOMONTH(TODAY(),0)</f>
        <v/>
      </c>
      <c r="K10" s="149" t="n">
        <v>12</v>
      </c>
    </row>
    <row r="11" ht="15" customHeight="1" s="77">
      <c r="B11" s="137" t="inlineStr">
        <is>
          <t>Housing</t>
        </is>
      </c>
      <c r="C11" s="138" t="inlineStr">
        <is>
          <t>Expense</t>
        </is>
      </c>
      <c r="D11" s="139" t="n">
        <v>18000</v>
      </c>
      <c r="F11" s="140" t="inlineStr">
        <is>
          <t>GCash</t>
        </is>
      </c>
      <c r="H11" s="141" t="inlineStr">
        <is>
          <t>Jan 2026</t>
        </is>
      </c>
      <c r="I11" s="142" t="n">
        <v>46023</v>
      </c>
      <c r="J11" s="142" t="n">
        <v>46053</v>
      </c>
      <c r="K11" s="143" t="n">
        <v>1</v>
      </c>
    </row>
    <row r="12" ht="15" customHeight="1" s="77">
      <c r="B12" s="144" t="inlineStr">
        <is>
          <t>Utilities</t>
        </is>
      </c>
      <c r="C12" s="145" t="inlineStr">
        <is>
          <t>Expense</t>
        </is>
      </c>
      <c r="D12" s="139" t="n">
        <v>4500</v>
      </c>
      <c r="F12" s="150" t="inlineStr">
        <is>
          <t>Maya</t>
        </is>
      </c>
      <c r="H12" s="147" t="inlineStr">
        <is>
          <t>Feb 2026</t>
        </is>
      </c>
      <c r="I12" s="148" t="n">
        <v>46054</v>
      </c>
      <c r="J12" s="148" t="n">
        <v>46081</v>
      </c>
      <c r="K12" s="149" t="n">
        <v>1</v>
      </c>
    </row>
    <row r="13" ht="15" customHeight="1" s="77">
      <c r="B13" s="137" t="inlineStr">
        <is>
          <t>Groceries</t>
        </is>
      </c>
      <c r="C13" s="138" t="inlineStr">
        <is>
          <t>Expense</t>
        </is>
      </c>
      <c r="D13" s="139" t="n">
        <v>9000</v>
      </c>
      <c r="H13" s="141" t="inlineStr">
        <is>
          <t>Mar 2026</t>
        </is>
      </c>
      <c r="I13" s="142" t="n">
        <v>46082</v>
      </c>
      <c r="J13" s="142" t="n">
        <v>46112</v>
      </c>
      <c r="K13" s="143" t="n">
        <v>1</v>
      </c>
    </row>
    <row r="14" ht="15" customHeight="1" s="77">
      <c r="B14" s="144" t="inlineStr">
        <is>
          <t>Transportation</t>
        </is>
      </c>
      <c r="C14" s="145" t="inlineStr">
        <is>
          <t>Expense</t>
        </is>
      </c>
      <c r="D14" s="139" t="n">
        <v>3000</v>
      </c>
      <c r="H14" s="147" t="inlineStr">
        <is>
          <t>Apr 2026</t>
        </is>
      </c>
      <c r="I14" s="148" t="n">
        <v>46113</v>
      </c>
      <c r="J14" s="148" t="n">
        <v>46142</v>
      </c>
      <c r="K14" s="149" t="n">
        <v>1</v>
      </c>
    </row>
    <row r="15" ht="15" customHeight="1" s="77">
      <c r="B15" s="137" t="inlineStr">
        <is>
          <t>Dining Out</t>
        </is>
      </c>
      <c r="C15" s="138" t="inlineStr">
        <is>
          <t>Expense</t>
        </is>
      </c>
      <c r="D15" s="139" t="n">
        <v>3500</v>
      </c>
      <c r="H15" s="141" t="inlineStr">
        <is>
          <t>May 2026</t>
        </is>
      </c>
      <c r="I15" s="142" t="n">
        <v>46143</v>
      </c>
      <c r="J15" s="142" t="n">
        <v>46173</v>
      </c>
      <c r="K15" s="143" t="n">
        <v>1</v>
      </c>
    </row>
    <row r="16" ht="15" customHeight="1" s="77">
      <c r="B16" s="144" t="inlineStr">
        <is>
          <t>Health &amp; Fitness</t>
        </is>
      </c>
      <c r="C16" s="145" t="inlineStr">
        <is>
          <t>Expense</t>
        </is>
      </c>
      <c r="D16" s="139" t="n">
        <v>2500</v>
      </c>
      <c r="H16" s="147" t="inlineStr">
        <is>
          <t>Jun 2026</t>
        </is>
      </c>
      <c r="I16" s="148" t="n">
        <v>46174</v>
      </c>
      <c r="J16" s="148" t="n">
        <v>46203</v>
      </c>
      <c r="K16" s="149" t="n">
        <v>1</v>
      </c>
    </row>
    <row r="17" ht="15" customHeight="1" s="77">
      <c r="B17" s="137" t="inlineStr">
        <is>
          <t>Entertainment</t>
        </is>
      </c>
      <c r="C17" s="138" t="inlineStr">
        <is>
          <t>Expense</t>
        </is>
      </c>
      <c r="D17" s="139" t="n">
        <v>2000</v>
      </c>
      <c r="H17" s="141" t="inlineStr">
        <is>
          <t>Jul 2026</t>
        </is>
      </c>
      <c r="I17" s="142" t="n">
        <v>46204</v>
      </c>
      <c r="J17" s="142" t="n">
        <v>46234</v>
      </c>
      <c r="K17" s="143" t="n">
        <v>1</v>
      </c>
    </row>
    <row r="18" ht="15" customHeight="1" s="77">
      <c r="B18" s="144" t="inlineStr">
        <is>
          <t>Shopping</t>
        </is>
      </c>
      <c r="C18" s="145" t="inlineStr">
        <is>
          <t>Expense</t>
        </is>
      </c>
      <c r="D18" s="139" t="n">
        <v>3500</v>
      </c>
      <c r="H18" s="147" t="inlineStr">
        <is>
          <t>Aug 2026</t>
        </is>
      </c>
      <c r="I18" s="148" t="n">
        <v>46235</v>
      </c>
      <c r="J18" s="148" t="n">
        <v>46265</v>
      </c>
      <c r="K18" s="149" t="n">
        <v>1</v>
      </c>
    </row>
    <row r="19" ht="15" customHeight="1" s="77">
      <c r="B19" s="137" t="inlineStr">
        <is>
          <t>Subscriptions</t>
        </is>
      </c>
      <c r="C19" s="138" t="inlineStr">
        <is>
          <t>Expense</t>
        </is>
      </c>
      <c r="D19" s="139" t="n">
        <v>1500</v>
      </c>
      <c r="H19" s="141" t="inlineStr">
        <is>
          <t>Sep 2026</t>
        </is>
      </c>
      <c r="I19" s="142" t="n">
        <v>46266</v>
      </c>
      <c r="J19" s="142" t="n">
        <v>46295</v>
      </c>
      <c r="K19" s="143" t="n">
        <v>1</v>
      </c>
    </row>
    <row r="20" ht="15" customHeight="1" s="77">
      <c r="B20" s="144" t="inlineStr">
        <is>
          <t>Education</t>
        </is>
      </c>
      <c r="C20" s="145" t="inlineStr">
        <is>
          <t>Expense</t>
        </is>
      </c>
      <c r="D20" s="139" t="n">
        <v>1500</v>
      </c>
      <c r="H20" s="147" t="inlineStr">
        <is>
          <t>Oct 2026</t>
        </is>
      </c>
      <c r="I20" s="148" t="n">
        <v>46296</v>
      </c>
      <c r="J20" s="148" t="n">
        <v>46326</v>
      </c>
      <c r="K20" s="149" t="n">
        <v>1</v>
      </c>
    </row>
    <row r="21" ht="15" customHeight="1" s="77">
      <c r="B21" s="151" t="inlineStr">
        <is>
          <t>Miscellaneous</t>
        </is>
      </c>
      <c r="C21" s="152" t="inlineStr">
        <is>
          <t>Expense</t>
        </is>
      </c>
      <c r="D21" s="153" t="n">
        <v>1500</v>
      </c>
      <c r="H21" s="141" t="inlineStr">
        <is>
          <t>Nov 2026</t>
        </is>
      </c>
      <c r="I21" s="142" t="n">
        <v>46327</v>
      </c>
      <c r="J21" s="142" t="n">
        <v>46356</v>
      </c>
      <c r="K21" s="143" t="n">
        <v>1</v>
      </c>
    </row>
    <row r="22" ht="15" customHeight="1" s="77">
      <c r="H22" s="147" t="inlineStr">
        <is>
          <t>Dec 2026</t>
        </is>
      </c>
      <c r="I22" s="148" t="n">
        <v>46357</v>
      </c>
      <c r="J22" s="148" t="n">
        <v>46387</v>
      </c>
      <c r="K22" s="149" t="n">
        <v>1</v>
      </c>
    </row>
    <row r="23" ht="15" customHeight="1" s="77">
      <c r="B23" s="124" t="inlineStr">
        <is>
          <t>Budgets are sample values — replace them with your own.</t>
        </is>
      </c>
      <c r="H23" s="141" t="inlineStr">
        <is>
          <t>Jan 2027</t>
        </is>
      </c>
      <c r="I23" s="142" t="n">
        <v>46388</v>
      </c>
      <c r="J23" s="142" t="n">
        <v>46418</v>
      </c>
      <c r="K23" s="143" t="n">
        <v>1</v>
      </c>
    </row>
    <row r="24" ht="15" customHeight="1" s="77">
      <c r="H24" s="147" t="inlineStr">
        <is>
          <t>Feb 2027</t>
        </is>
      </c>
      <c r="I24" s="148" t="n">
        <v>46419</v>
      </c>
      <c r="J24" s="148" t="n">
        <v>46446</v>
      </c>
      <c r="K24" s="149" t="n">
        <v>1</v>
      </c>
    </row>
    <row r="25" ht="15" customHeight="1" s="77">
      <c r="H25" s="141" t="inlineStr">
        <is>
          <t>Mar 2027</t>
        </is>
      </c>
      <c r="I25" s="142" t="n">
        <v>46447</v>
      </c>
      <c r="J25" s="142" t="n">
        <v>46477</v>
      </c>
      <c r="K25" s="143" t="n">
        <v>1</v>
      </c>
    </row>
    <row r="26" ht="15" customHeight="1" s="77">
      <c r="H26" s="147" t="inlineStr">
        <is>
          <t>Apr 2027</t>
        </is>
      </c>
      <c r="I26" s="148" t="n">
        <v>46478</v>
      </c>
      <c r="J26" s="148" t="n">
        <v>46507</v>
      </c>
      <c r="K26" s="149" t="n">
        <v>1</v>
      </c>
    </row>
    <row r="27" ht="15" customHeight="1" s="77">
      <c r="H27" s="141" t="inlineStr">
        <is>
          <t>May 2027</t>
        </is>
      </c>
      <c r="I27" s="142" t="n">
        <v>46508</v>
      </c>
      <c r="J27" s="142" t="n">
        <v>46538</v>
      </c>
      <c r="K27" s="143" t="n">
        <v>1</v>
      </c>
    </row>
    <row r="28" ht="15" customHeight="1" s="77">
      <c r="H28" s="147" t="inlineStr">
        <is>
          <t>Jun 2027</t>
        </is>
      </c>
      <c r="I28" s="148" t="n">
        <v>46539</v>
      </c>
      <c r="J28" s="148" t="n">
        <v>46568</v>
      </c>
      <c r="K28" s="149" t="n">
        <v>1</v>
      </c>
    </row>
    <row r="29" ht="15" customHeight="1" s="77">
      <c r="H29" s="141" t="inlineStr">
        <is>
          <t>Jul 2027</t>
        </is>
      </c>
      <c r="I29" s="142" t="n">
        <v>46569</v>
      </c>
      <c r="J29" s="142" t="n">
        <v>46599</v>
      </c>
      <c r="K29" s="143" t="n">
        <v>1</v>
      </c>
    </row>
    <row r="30" ht="15" customHeight="1" s="77">
      <c r="H30" s="147" t="inlineStr">
        <is>
          <t>Aug 2027</t>
        </is>
      </c>
      <c r="I30" s="148" t="n">
        <v>46600</v>
      </c>
      <c r="J30" s="148" t="n">
        <v>46630</v>
      </c>
      <c r="K30" s="149" t="n">
        <v>1</v>
      </c>
    </row>
    <row r="31" ht="15" customHeight="1" s="77">
      <c r="H31" s="141" t="inlineStr">
        <is>
          <t>Sep 2027</t>
        </is>
      </c>
      <c r="I31" s="142" t="n">
        <v>46631</v>
      </c>
      <c r="J31" s="142" t="n">
        <v>46660</v>
      </c>
      <c r="K31" s="143" t="n">
        <v>1</v>
      </c>
    </row>
    <row r="32" ht="15" customHeight="1" s="77">
      <c r="H32" s="147" t="inlineStr">
        <is>
          <t>Oct 2027</t>
        </is>
      </c>
      <c r="I32" s="148" t="n">
        <v>46661</v>
      </c>
      <c r="J32" s="148" t="n">
        <v>46691</v>
      </c>
      <c r="K32" s="149" t="n">
        <v>1</v>
      </c>
    </row>
    <row r="33" ht="15" customHeight="1" s="77">
      <c r="H33" s="141" t="inlineStr">
        <is>
          <t>Nov 2027</t>
        </is>
      </c>
      <c r="I33" s="142" t="n">
        <v>46692</v>
      </c>
      <c r="J33" s="142" t="n">
        <v>46721</v>
      </c>
      <c r="K33" s="143" t="n">
        <v>1</v>
      </c>
    </row>
    <row r="34" ht="15" customHeight="1" s="77">
      <c r="H34" s="154" t="inlineStr">
        <is>
          <t>Dec 2027</t>
        </is>
      </c>
      <c r="I34" s="155" t="n">
        <v>46722</v>
      </c>
      <c r="J34" s="155" t="n">
        <v>46752</v>
      </c>
      <c r="K34" s="156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6366F1"/>
    <outlinePr summaryBelow="1" summaryRight="1"/>
    <pageSetUpPr fitToPage="0"/>
  </sheetPr>
  <dimension ref="A1:C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5" customWidth="1" style="76" min="1" max="1"/>
    <col width="108" customWidth="1" style="76" min="2" max="2"/>
  </cols>
  <sheetData>
    <row r="1" ht="25.5" customHeight="1" s="77">
      <c r="A1" s="78" t="n"/>
      <c r="B1" s="130" t="inlineStr">
        <is>
          <t>📖  HOW THIS TRACKER WORKS</t>
        </is>
      </c>
      <c r="C1" s="78" t="n"/>
    </row>
    <row r="2" ht="15.75" customHeight="1" s="77">
      <c r="A2" s="78" t="n"/>
      <c r="B2" s="80" t="inlineStr">
        <is>
          <t>60-second guide</t>
        </is>
      </c>
      <c r="C2" s="78" t="n"/>
    </row>
    <row r="4" ht="15" customHeight="1" s="77">
      <c r="B4" s="157" t="n"/>
    </row>
    <row r="5" ht="19.5" customHeight="1" s="77">
      <c r="B5" s="158" t="inlineStr">
        <is>
          <t>🚀  QUICK START</t>
        </is>
      </c>
    </row>
    <row r="6" ht="15" customHeight="1" s="77">
      <c r="B6" s="157" t="inlineStr">
        <is>
          <t>1.  Open the Transactions tab and log each transaction on its own row (date, description, category, type, amount, account).</t>
        </is>
      </c>
    </row>
    <row r="7" ht="15" customHeight="1" s="77">
      <c r="B7" s="157" t="inlineStr">
        <is>
          <t>2.  Amounts are always POSITIVE numbers — the Type column (Income / Expense) decides the direction.</t>
        </is>
      </c>
    </row>
    <row r="8" ht="15" customHeight="1" s="77">
      <c r="B8" s="157" t="inlineStr">
        <is>
          <t>3.  Category, Type, and Account are dropdowns. Manage the lists in the Settings tab.</t>
        </is>
      </c>
    </row>
    <row r="9" ht="15" customHeight="1" s="77">
      <c r="B9" s="157" t="inlineStr">
        <is>
          <t>4.  Open the Dashboard and pick a period (This Month, Last Month, YTD, Last 12 Months, or any specific month).</t>
        </is>
      </c>
    </row>
    <row r="10" ht="15" customHeight="1" s="77">
      <c r="B10" s="157" t="inlineStr">
        <is>
          <t>5.  That's it — every KPI, table, and chart recalculates automatically. No refresh button, no macros.</t>
        </is>
      </c>
    </row>
    <row r="11" ht="15" customHeight="1" s="77">
      <c r="B11" s="157" t="n"/>
    </row>
    <row r="12" ht="19.5" customHeight="1" s="77">
      <c r="B12" s="158" t="inlineStr">
        <is>
          <t>⚙️  HOW THE AUTOMATION WORKS</t>
        </is>
      </c>
    </row>
    <row r="13" ht="15" customHeight="1" s="77">
      <c r="B13" s="157" t="inlineStr">
        <is>
          <t>•  Transactions is the ONLY place raw data lives. The Dashboard is 100% formula-driven — never type numbers there.</t>
        </is>
      </c>
    </row>
    <row r="14" ht="15" customHeight="1" s="77">
      <c r="B14" s="157" t="inlineStr">
        <is>
          <t>•  SUMIFS pulls totals by Type, Category, and the date window chosen in the period dropdown.</t>
        </is>
      </c>
    </row>
    <row r="15" ht="15" customHeight="1" s="77">
      <c r="B15" s="157" t="inlineStr">
        <is>
          <t>•  INDEX + MATCH converts your dropdown choice into start/end dates using the period engine in Settings.</t>
        </is>
      </c>
    </row>
    <row r="16" ht="15" customHeight="1" s="77">
      <c r="B16" s="157" t="inlineStr">
        <is>
          <t>•  Every ratio is wrapped in IFERROR, so an empty month shows ₱0 / — instead of a divide-by-zero error.</t>
        </is>
      </c>
    </row>
    <row r="17" ht="15" customHeight="1" s="77">
      <c r="B17" s="157" t="inlineStr">
        <is>
          <t>•  The Cash Flow section is anchored to TODAY(), so it always shows the trailing 12 months without edits.</t>
        </is>
      </c>
    </row>
    <row r="18" ht="15" customHeight="1" s="77">
      <c r="B18" s="157" t="n"/>
    </row>
    <row r="19" ht="19.5" customHeight="1" s="77">
      <c r="B19" s="158" t="inlineStr">
        <is>
          <t>🎨  COLOR LEGEND</t>
        </is>
      </c>
    </row>
    <row r="20" ht="15" customHeight="1" s="77">
      <c r="B20" s="157" t="inlineStr">
        <is>
          <t>•  Yellow cells with blue text (Settings budgets) = inputs you should edit.</t>
        </is>
      </c>
    </row>
    <row r="21" ht="15" customHeight="1" s="77">
      <c r="B21" s="157" t="inlineStr">
        <is>
          <t>•  Everything on the Dashboard = formulas. Editing those cells breaks the automation.</t>
        </is>
      </c>
    </row>
    <row r="22" ht="15" customHeight="1" s="77">
      <c r="B22" s="157" t="inlineStr">
        <is>
          <t>•  Status flags: 🟢 under 85% of budget  ·  🟡 85–100%  ·  🔴 over budget.</t>
        </is>
      </c>
    </row>
    <row r="23" ht="15" customHeight="1" s="77">
      <c r="B23" s="157" t="n"/>
    </row>
    <row r="24" ht="19.5" customHeight="1" s="77">
      <c r="B24" s="158" t="inlineStr">
        <is>
          <t>🧪  SAMPLE DATA</t>
        </is>
      </c>
    </row>
    <row r="25" ht="15" customHeight="1" s="77">
      <c r="B25" s="157" t="inlineStr">
        <is>
          <t>•  The Transactions tab ships with ~12 months of realistic sample data so you can see the dashboard alive.</t>
        </is>
      </c>
    </row>
    <row r="26" ht="15" customHeight="1" s="77">
      <c r="B26" s="157" t="inlineStr">
        <is>
          <t>•  To start fresh: select all sample rows (row 2 down), delete, and log your own. Formatting and dropdowns stay.</t>
        </is>
      </c>
    </row>
    <row r="27" ht="15" customHeight="1" s="77">
      <c r="B27" s="157" t="inlineStr">
        <is>
          <t>•  Budgets in Settings are samples too — replace them with your real monthly targets.</t>
        </is>
      </c>
    </row>
    <row r="28" ht="15" customHeight="1" s="77">
      <c r="B28" s="157" t="n"/>
    </row>
    <row r="29" ht="19.5" customHeight="1" s="77">
      <c r="B29" s="158" t="inlineStr">
        <is>
          <t>🛠️  CUSTOMIZING</t>
        </is>
      </c>
    </row>
    <row r="30" ht="15" customHeight="1" s="77">
      <c r="B30" s="157" t="inlineStr">
        <is>
          <t>•  Add a category: right-click a row INSIDE the Settings category table → Insert. Dropdowns extend automatically.</t>
        </is>
      </c>
    </row>
    <row r="31" ht="15" customHeight="1" s="77">
      <c r="B31" s="157" t="inlineStr">
        <is>
          <t xml:space="preserve">   Then insert a matching row inside the Dashboard's Budget vs Actual table and copy the formulas down.</t>
        </is>
      </c>
    </row>
    <row r="32" ht="15" customHeight="1" s="77">
      <c r="B32" s="157" t="inlineStr">
        <is>
          <t>•  Change currency: select the amount cells → Ctrl+1 → Number → Custom → swap ₱ for your symbol.</t>
        </is>
      </c>
    </row>
    <row r="33" ht="15" customHeight="1" s="77">
      <c r="B33" s="157" t="inlineStr">
        <is>
          <t>•  The period dropdown covers Jan 2026 – Dec 2027 plus rolling options; extend the Settings table for later years.</t>
        </is>
      </c>
    </row>
    <row r="34" ht="15" customHeight="1" s="77">
      <c r="B34" s="157" t="n"/>
    </row>
    <row r="35" ht="15" customHeight="1" s="77">
      <c r="B35" s="159" t="inlineStr">
        <is>
          <t>Built to be fully automated: log it once in Transactions, read it forever on the Dashboard. 💜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2026-07-13T05:46:30Z</dcterms:created>
  <dcterms:modified xsi:type="dcterms:W3CDTF">2026-07-20T04:49:18Z</dcterms:modified>
  <cp:revision>1</cp:revision>
</cp:coreProperties>
</file>