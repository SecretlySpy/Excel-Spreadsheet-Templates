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Accounts" sheetId="2" state="visible" r:id="rId2"/>
    <sheet name="Balance History" sheetId="3" state="visible" r:id="rId3"/>
    <sheet name="README" sheetId="4" state="visible" r:id="rId4"/>
  </sheets>
  <definedNames/>
</workbook>
</file>

<file path=xl/styles.xml><?xml version="1.0" encoding="utf-8"?>
<styleSheet xmlns="http://schemas.openxmlformats.org/spreadsheetml/2006/main">
  <numFmts count="7">
    <numFmt numFmtId="164" formatCode="₱#,##0;[Red](₱#,##0);-"/>
    <numFmt numFmtId="165" formatCode="mmm d, yyyy"/>
    <numFmt numFmtId="166" formatCode="0.0%;[Red](0.0%);-"/>
    <numFmt numFmtId="167" formatCode="mmm yy"/>
    <numFmt numFmtId="168" formatCode="₱#,##0"/>
    <numFmt numFmtId="169" formatCode="0.0%"/>
    <numFmt numFmtId="170" formatCode="₱#,##0.00;[Red](₱#,##0.00);-"/>
  </numFmts>
  <fonts count="59">
    <font>
      <name val="Carlito"/>
      <sz val="11"/>
    </font>
    <font>
      <name val="Carlito"/>
      <b val="1"/>
      <color rgb="FFFFFFFF"/>
      <sz val="20"/>
    </font>
    <font>
      <name val="Carlito"/>
      <i val="1"/>
      <color rgb="FFD8D4FE"/>
      <sz val="10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color rgb="FF0000FF"/>
      <sz val="10"/>
    </font>
    <font>
      <name val="Carlito"/>
      <b val="1"/>
      <color rgb="FF4C1D95"/>
      <sz val="11"/>
    </font>
    <font>
      <name val="Aptos"/>
      <sz val="11"/>
    </font>
    <font>
      <name val="Aptos"/>
      <b val="1"/>
      <color rgb="FFFFFFFF"/>
      <sz val="20"/>
    </font>
    <font>
      <name val="Aptos"/>
      <i val="1"/>
      <color rgb="FFD8D4FE"/>
      <sz val="10"/>
    </font>
    <font>
      <name val="Aptos"/>
      <b val="1"/>
      <color rgb="FFFFFFFF"/>
      <sz val="11"/>
    </font>
    <font>
      <name val="Aptos"/>
      <color rgb="FF0000FF"/>
      <sz val="10"/>
    </font>
    <font>
      <name val="Aptos"/>
      <b val="1"/>
      <color rgb="FF4C1D95"/>
      <sz val="11"/>
    </font>
    <font>
      <name val="Aptos"/>
      <color rgb="FF111827"/>
      <sz val="10"/>
    </font>
    <font>
      <name val="Carlito"/>
      <b val="1"/>
      <color rgb="FFFFFFFF"/>
      <sz val="22"/>
    </font>
    <font>
      <name val="Carlito"/>
      <color rgb="FF047857"/>
      <sz val="11"/>
    </font>
    <font>
      <name val="Carlito"/>
      <color rgb="FF1D4ED8"/>
      <sz val="11"/>
    </font>
    <font>
      <name val="Carlito"/>
      <color rgb="FF4C1D95"/>
      <sz val="11"/>
    </font>
    <font>
      <name val="Carlito"/>
      <color rgb="FFB45309"/>
      <sz val="11"/>
    </font>
    <font>
      <name val="Carlito"/>
      <b val="1"/>
      <color rgb="FF047857"/>
      <sz val="10"/>
    </font>
    <font>
      <name val="Carlito"/>
      <b val="1"/>
      <color rgb="FF1D4ED8"/>
      <sz val="10"/>
    </font>
    <font>
      <name val="Carlito"/>
      <b val="1"/>
      <color rgb="FF4C1D95"/>
      <sz val="10"/>
    </font>
    <font>
      <name val="Carlito"/>
      <b val="1"/>
      <color rgb="FFB45309"/>
      <sz val="10"/>
    </font>
    <font>
      <name val="Carlito"/>
      <b val="1"/>
      <color rgb="FF047857"/>
      <sz val="24"/>
    </font>
    <font>
      <name val="Carlito"/>
      <b val="1"/>
      <color rgb="FF1D4ED8"/>
      <sz val="24"/>
    </font>
    <font>
      <name val="Carlito"/>
      <b val="1"/>
      <color rgb="FF4C1D95"/>
      <sz val="24"/>
    </font>
    <font>
      <name val="Carlito"/>
      <b val="1"/>
      <color rgb="FFB45309"/>
      <sz val="24"/>
    </font>
    <font>
      <name val="Carlito"/>
      <i val="1"/>
      <color rgb="FF4B5563"/>
      <sz val="9"/>
    </font>
    <font>
      <name val="Carlito"/>
      <b val="1"/>
      <color rgb="FF211C4F"/>
      <sz val="14"/>
    </font>
    <font>
      <name val="Carlito"/>
      <b val="1"/>
      <color rgb="FF4C1D95"/>
      <sz val="12"/>
    </font>
    <font>
      <name val="Carlito"/>
      <color rgb="FF374151"/>
      <sz val="10"/>
    </font>
    <font>
      <name val="Aptos"/>
      <b val="1"/>
      <color rgb="FFFFFFFF"/>
      <sz val="22"/>
    </font>
    <font>
      <name val="Aptos"/>
      <b val="1"/>
      <color rgb="FF047857"/>
      <sz val="10"/>
    </font>
    <font>
      <name val="Aptos"/>
      <color rgb="FF047857"/>
      <sz val="11"/>
    </font>
    <font>
      <name val="Aptos"/>
      <b val="1"/>
      <color rgb="FF1D4ED8"/>
      <sz val="10"/>
    </font>
    <font>
      <name val="Aptos"/>
      <color rgb="FF1D4ED8"/>
      <sz val="11"/>
    </font>
    <font>
      <name val="Aptos"/>
      <b val="1"/>
      <color rgb="FF4C1D95"/>
      <sz val="10"/>
    </font>
    <font>
      <name val="Aptos"/>
      <color rgb="FF4C1D95"/>
      <sz val="11"/>
    </font>
    <font>
      <name val="Aptos"/>
      <b val="1"/>
      <color rgb="FFB45309"/>
      <sz val="10"/>
    </font>
    <font>
      <name val="Aptos"/>
      <color rgb="FFB45309"/>
      <sz val="11"/>
    </font>
    <font>
      <name val="Aptos"/>
      <b val="1"/>
      <color rgb="FF047857"/>
      <sz val="24"/>
    </font>
    <font>
      <name val="Aptos"/>
      <b val="1"/>
      <color rgb="FF1D4ED8"/>
      <sz val="24"/>
    </font>
    <font>
      <name val="Aptos"/>
      <b val="1"/>
      <color rgb="FF4C1D95"/>
      <sz val="24"/>
    </font>
    <font>
      <name val="Aptos"/>
      <b val="1"/>
      <color rgb="FFB45309"/>
      <sz val="24"/>
    </font>
    <font>
      <name val="Aptos"/>
      <i val="1"/>
      <color rgb="FF4B5563"/>
      <sz val="9"/>
    </font>
    <font>
      <name val="Aptos"/>
      <b val="1"/>
      <color rgb="FF211C4F"/>
      <sz val="14"/>
    </font>
    <font>
      <name val="Aptos"/>
      <b val="1"/>
      <color rgb="FF4C1D95"/>
      <sz val="12"/>
    </font>
    <font>
      <name val="Aptos"/>
      <color rgb="FF374151"/>
      <sz val="10"/>
    </font>
    <font>
      <name val="Carlito"/>
      <i val="1"/>
      <color rgb="FFD8D4FE"/>
      <sz val="11"/>
    </font>
    <font>
      <name val="Carlito"/>
      <color rgb="FF0000FF"/>
      <sz val="11"/>
    </font>
    <font>
      <name val="Carlito"/>
      <color rgb="FF111827"/>
      <sz val="11"/>
    </font>
    <font>
      <name val="Aptos"/>
      <color rgb="FF111827"/>
      <sz val="11"/>
    </font>
    <font>
      <name val="Aptos"/>
      <color rgb="FF000000"/>
      <sz val="11"/>
    </font>
    <font>
      <name val="Aptos"/>
      <color rgb="FF374151"/>
      <sz val="11"/>
    </font>
    <font>
      <name val="Aptos"/>
      <b val="1"/>
      <color rgb="00FFFFFF"/>
      <sz val="10"/>
    </font>
    <font>
      <name val="Aptos"/>
      <color rgb="00375623"/>
      <sz val="10"/>
    </font>
    <font>
      <name val="Aptos"/>
      <b val="1"/>
      <color rgb="001F4E79"/>
      <sz val="13"/>
    </font>
    <font>
      <name val="Aptos"/>
      <color rgb="00404040"/>
      <sz val="10"/>
    </font>
    <font>
      <name val="Aptos"/>
      <b val="1"/>
      <color rgb="001F4E79"/>
      <sz val="11"/>
    </font>
  </fonts>
  <fills count="18">
    <fill>
      <patternFill/>
    </fill>
    <fill>
      <patternFill patternType="gray125"/>
    </fill>
    <fill>
      <patternFill patternType="solid">
        <fgColor rgb="FF211C4F"/>
      </patternFill>
    </fill>
    <fill>
      <patternFill patternType="solid">
        <fgColor rgb="FF4C1D95"/>
      </patternFill>
    </fill>
    <fill>
      <patternFill patternType="solid">
        <fgColor rgb="FFFFF7CC"/>
      </patternFill>
    </fill>
    <fill>
      <patternFill patternType="solid">
        <fgColor rgb="FFEDE9FE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37308A"/>
      </patternFill>
    </fill>
    <fill>
      <patternFill patternType="solid">
        <fgColor rgb="FF211C4F"/>
      </patternFill>
    </fill>
    <fill>
      <patternFill patternType="solid">
        <fgColor rgb="FF4C1D95"/>
      </patternFill>
    </fill>
    <fill>
      <patternFill patternType="solid">
        <fgColor rgb="FFFFF7CC"/>
      </patternFill>
    </fill>
    <fill>
      <patternFill patternType="solid">
        <fgColor rgb="FFECFDF5"/>
      </patternFill>
    </fill>
    <fill>
      <patternFill patternType="solid">
        <fgColor rgb="FFEDE9FE"/>
      </patternFill>
    </fill>
    <fill>
      <patternFill patternType="solid">
        <fgColor rgb="FF37308A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3">
    <border/>
    <border/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1"/>
  </cellStyleXfs>
  <cellXfs count="37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4" fontId="5" fillId="4" borderId="0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0" fillId="5" borderId="0" pivotButton="0" quotePrefix="0" xfId="0"/>
    <xf numFmtId="0" fontId="6" fillId="5" borderId="0" pivotButton="0" quotePrefix="0" xfId="0"/>
    <xf numFmtId="0" fontId="0" fillId="5" borderId="1" pivotButton="0" quotePrefix="0" xfId="0"/>
    <xf numFmtId="0" fontId="6" fillId="5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vertical="center"/>
    </xf>
    <xf numFmtId="0" fontId="10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vertical="center"/>
    </xf>
    <xf numFmtId="164" fontId="11" fillId="4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/>
    </xf>
    <xf numFmtId="0" fontId="12" fillId="5" borderId="0" pivotButton="0" quotePrefix="0" xfId="0"/>
    <xf numFmtId="164" fontId="7" fillId="0" borderId="0" pivotButton="0" quotePrefix="0" xfId="0"/>
    <xf numFmtId="0" fontId="7" fillId="0" borderId="1" pivotButton="0" quotePrefix="0" xfId="0"/>
    <xf numFmtId="0" fontId="8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/>
    </xf>
    <xf numFmtId="164" fontId="11" fillId="4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/>
    </xf>
    <xf numFmtId="0" fontId="12" fillId="5" borderId="1" pivotButton="0" quotePrefix="0" xfId="0"/>
    <xf numFmtId="164" fontId="7" fillId="0" borderId="1" pivotButton="0" quotePrefix="0" xfId="0"/>
    <xf numFmtId="0" fontId="0" fillId="4" borderId="0" pivotButton="0" quotePrefix="0" xfId="0"/>
    <xf numFmtId="0" fontId="5" fillId="4" borderId="0" pivotButton="0" quotePrefix="0" xfId="0"/>
    <xf numFmtId="0" fontId="0" fillId="4" borderId="1" pivotButton="0" quotePrefix="0" xfId="0"/>
    <xf numFmtId="0" fontId="5" fillId="4" borderId="1" pivotButton="0" quotePrefix="0" xfId="0"/>
    <xf numFmtId="165" fontId="5" fillId="4" borderId="0" pivotButton="0" quotePrefix="0" xfId="0"/>
    <xf numFmtId="165" fontId="5" fillId="4" borderId="1" pivotButton="0" quotePrefix="0" xfId="0"/>
    <xf numFmtId="164" fontId="5" fillId="4" borderId="0" pivotButton="0" quotePrefix="0" xfId="0"/>
    <xf numFmtId="164" fontId="4" fillId="0" borderId="0" pivotButton="0" quotePrefix="0" xfId="0"/>
    <xf numFmtId="164" fontId="5" fillId="4" borderId="1" pivotButton="0" quotePrefix="0" xfId="0"/>
    <xf numFmtId="164" fontId="4" fillId="0" borderId="1" pivotButton="0" quotePrefix="0" xfId="0"/>
    <xf numFmtId="166" fontId="4" fillId="0" borderId="0" pivotButton="0" quotePrefix="0" xfId="0"/>
    <xf numFmtId="166" fontId="4" fillId="0" borderId="1" pivotButton="0" quotePrefix="0" xfId="0"/>
    <xf numFmtId="0" fontId="9" fillId="2" borderId="0" pivotButton="0" quotePrefix="0" xfId="0"/>
    <xf numFmtId="165" fontId="11" fillId="4" borderId="0" pivotButton="0" quotePrefix="0" xfId="0"/>
    <xf numFmtId="164" fontId="11" fillId="4" borderId="0" pivotButton="0" quotePrefix="0" xfId="0"/>
    <xf numFmtId="164" fontId="13" fillId="0" borderId="0" pivotButton="0" quotePrefix="0" xfId="0"/>
    <xf numFmtId="166" fontId="13" fillId="0" borderId="0" pivotButton="0" quotePrefix="0" xfId="0"/>
    <xf numFmtId="0" fontId="9" fillId="2" borderId="1" pivotButton="0" quotePrefix="0" xfId="0"/>
    <xf numFmtId="165" fontId="11" fillId="4" borderId="1" pivotButton="0" quotePrefix="0" xfId="0"/>
    <xf numFmtId="164" fontId="11" fillId="4" borderId="1" pivotButton="0" quotePrefix="0" xfId="0"/>
    <xf numFmtId="164" fontId="13" fillId="0" borderId="1" pivotButton="0" quotePrefix="0" xfId="0"/>
    <xf numFmtId="166" fontId="13" fillId="0" borderId="1" pivotButton="0" quotePrefix="0" xfId="0"/>
    <xf numFmtId="0" fontId="14" fillId="2" borderId="0" pivotButton="0" quotePrefix="0" xfId="0"/>
    <xf numFmtId="0" fontId="14" fillId="2" borderId="0" applyAlignment="1" pivotButton="0" quotePrefix="0" xfId="0">
      <alignment horizontal="left"/>
    </xf>
    <xf numFmtId="0" fontId="14" fillId="2" borderId="0" applyAlignment="1" pivotButton="0" quotePrefix="0" xfId="0">
      <alignment horizontal="left" vertical="center"/>
    </xf>
    <xf numFmtId="0" fontId="14" fillId="2" borderId="1" pivotButton="0" quotePrefix="0" xfId="0"/>
    <xf numFmtId="0" fontId="14" fillId="2" borderId="1" applyAlignment="1" pivotButton="0" quotePrefix="0" xfId="0">
      <alignment horizontal="left"/>
    </xf>
    <xf numFmtId="0" fontId="14" fillId="2" borderId="1" applyAlignment="1" pivotButton="0" quotePrefix="0" xfId="0">
      <alignment horizontal="left" vertical="center"/>
    </xf>
    <xf numFmtId="0" fontId="0" fillId="6" borderId="0" pivotButton="0" quotePrefix="0" xfId="0"/>
    <xf numFmtId="0" fontId="15" fillId="6" borderId="0" pivotButton="0" quotePrefix="0" xfId="0"/>
    <xf numFmtId="0" fontId="15" fillId="6" borderId="0" applyAlignment="1" pivotButton="0" quotePrefix="0" xfId="0">
      <alignment horizontal="center"/>
    </xf>
    <xf numFmtId="0" fontId="15" fillId="6" borderId="0" applyAlignment="1" pivotButton="0" quotePrefix="0" xfId="0">
      <alignment horizontal="center" vertical="center"/>
    </xf>
    <xf numFmtId="0" fontId="0" fillId="6" borderId="1" pivotButton="0" quotePrefix="0" xfId="0"/>
    <xf numFmtId="0" fontId="15" fillId="6" borderId="1" pivotButton="0" quotePrefix="0" xfId="0"/>
    <xf numFmtId="0" fontId="15" fillId="6" borderId="1" applyAlignment="1" pivotButton="0" quotePrefix="0" xfId="0">
      <alignment horizontal="center"/>
    </xf>
    <xf numFmtId="0" fontId="15" fillId="6" borderId="1" applyAlignment="1" pivotButton="0" quotePrefix="0" xfId="0">
      <alignment horizontal="center" vertical="center"/>
    </xf>
    <xf numFmtId="0" fontId="0" fillId="7" borderId="0" pivotButton="0" quotePrefix="0" xfId="0"/>
    <xf numFmtId="0" fontId="16" fillId="7" borderId="0" pivotButton="0" quotePrefix="0" xfId="0"/>
    <xf numFmtId="0" fontId="16" fillId="7" borderId="0" applyAlignment="1" pivotButton="0" quotePrefix="0" xfId="0">
      <alignment horizontal="center"/>
    </xf>
    <xf numFmtId="0" fontId="16" fillId="7" borderId="0" applyAlignment="1" pivotButton="0" quotePrefix="0" xfId="0">
      <alignment horizontal="center" vertical="center"/>
    </xf>
    <xf numFmtId="0" fontId="0" fillId="7" borderId="1" pivotButton="0" quotePrefix="0" xfId="0"/>
    <xf numFmtId="0" fontId="16" fillId="7" borderId="1" pivotButton="0" quotePrefix="0" xfId="0"/>
    <xf numFmtId="0" fontId="16" fillId="7" borderId="1" applyAlignment="1" pivotButton="0" quotePrefix="0" xfId="0">
      <alignment horizontal="center"/>
    </xf>
    <xf numFmtId="0" fontId="16" fillId="7" borderId="1" applyAlignment="1" pivotButton="0" quotePrefix="0" xfId="0">
      <alignment horizontal="center" vertical="center"/>
    </xf>
    <xf numFmtId="0" fontId="17" fillId="5" borderId="0" pivotButton="0" quotePrefix="0" xfId="0"/>
    <xf numFmtId="0" fontId="17" fillId="5" borderId="0" applyAlignment="1" pivotButton="0" quotePrefix="0" xfId="0">
      <alignment horizontal="center"/>
    </xf>
    <xf numFmtId="0" fontId="17" fillId="5" borderId="0" applyAlignment="1" pivotButton="0" quotePrefix="0" xfId="0">
      <alignment horizontal="center" vertical="center"/>
    </xf>
    <xf numFmtId="0" fontId="17" fillId="5" borderId="1" pivotButton="0" quotePrefix="0" xfId="0"/>
    <xf numFmtId="0" fontId="17" fillId="5" borderId="1" applyAlignment="1" pivotButton="0" quotePrefix="0" xfId="0">
      <alignment horizontal="center"/>
    </xf>
    <xf numFmtId="0" fontId="17" fillId="5" borderId="1" applyAlignment="1" pivotButton="0" quotePrefix="0" xfId="0">
      <alignment horizontal="center" vertical="center"/>
    </xf>
    <xf numFmtId="0" fontId="0" fillId="8" borderId="0" pivotButton="0" quotePrefix="0" xfId="0"/>
    <xf numFmtId="0" fontId="18" fillId="8" borderId="0" pivotButton="0" quotePrefix="0" xfId="0"/>
    <xf numFmtId="0" fontId="18" fillId="8" borderId="0" applyAlignment="1" pivotButton="0" quotePrefix="0" xfId="0">
      <alignment horizontal="center"/>
    </xf>
    <xf numFmtId="0" fontId="18" fillId="8" borderId="0" applyAlignment="1" pivotButton="0" quotePrefix="0" xfId="0">
      <alignment horizontal="center" vertical="center"/>
    </xf>
    <xf numFmtId="0" fontId="0" fillId="8" borderId="1" pivotButton="0" quotePrefix="0" xfId="0"/>
    <xf numFmtId="0" fontId="18" fillId="8" borderId="1" pivotButton="0" quotePrefix="0" xfId="0"/>
    <xf numFmtId="0" fontId="18" fillId="8" borderId="1" applyAlignment="1" pivotButton="0" quotePrefix="0" xfId="0">
      <alignment horizontal="center"/>
    </xf>
    <xf numFmtId="0" fontId="18" fillId="8" borderId="1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  <xf numFmtId="0" fontId="25" fillId="5" borderId="0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164" fontId="23" fillId="6" borderId="0" applyAlignment="1" pivotButton="0" quotePrefix="0" xfId="0">
      <alignment horizontal="center" vertical="center"/>
    </xf>
    <xf numFmtId="164" fontId="24" fillId="7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center" vertical="center"/>
    </xf>
    <xf numFmtId="164" fontId="23" fillId="6" borderId="1" applyAlignment="1" pivotButton="0" quotePrefix="0" xfId="0">
      <alignment horizontal="center" vertical="center"/>
    </xf>
    <xf numFmtId="164" fontId="24" fillId="7" borderId="1" applyAlignment="1" pivotButton="0" quotePrefix="0" xfId="0">
      <alignment horizontal="center" vertical="center"/>
    </xf>
    <xf numFmtId="164" fontId="25" fillId="5" borderId="1" applyAlignment="1" pivotButton="0" quotePrefix="0" xfId="0">
      <alignment horizontal="center" vertical="center"/>
    </xf>
    <xf numFmtId="0" fontId="27" fillId="6" borderId="0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7" borderId="0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27" fillId="5" borderId="0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7" fillId="8" borderId="0" applyAlignment="1" pivotButton="0" quotePrefix="0" xfId="0">
      <alignment horizontal="center" vertical="center"/>
    </xf>
    <xf numFmtId="0" fontId="27" fillId="8" borderId="1" applyAlignment="1" pivotButton="0" quotePrefix="0" xfId="0">
      <alignment horizontal="center" vertical="center"/>
    </xf>
    <xf numFmtId="0" fontId="28" fillId="0" borderId="0" pivotButton="0" quotePrefix="0" xfId="0"/>
    <xf numFmtId="0" fontId="28" fillId="0" borderId="1" pivotButton="0" quotePrefix="0" xfId="0"/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horizontal="center"/>
    </xf>
    <xf numFmtId="0" fontId="0" fillId="9" borderId="1" pivotButton="0" quotePrefix="0" xfId="0"/>
    <xf numFmtId="0" fontId="3" fillId="9" borderId="1" pivotButton="0" quotePrefix="0" xfId="0"/>
    <xf numFmtId="0" fontId="3" fillId="9" borderId="1" applyAlignment="1" pivotButton="0" quotePrefix="0" xfId="0">
      <alignment horizontal="center"/>
    </xf>
    <xf numFmtId="165" fontId="4" fillId="0" borderId="0" pivotButton="0" quotePrefix="0" xfId="0"/>
    <xf numFmtId="165" fontId="4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0" fontId="29" fillId="5" borderId="0" pivotButton="0" quotePrefix="0" xfId="0"/>
    <xf numFmtId="0" fontId="29" fillId="5" borderId="1" pivotButton="0" quotePrefix="0" xfId="0"/>
    <xf numFmtId="0" fontId="30" fillId="0" borderId="0" pivotButton="0" quotePrefix="0" xfId="0"/>
    <xf numFmtId="0" fontId="30" fillId="0" borderId="0" applyAlignment="1" pivotButton="0" quotePrefix="0" xfId="0">
      <alignment wrapText="1"/>
    </xf>
    <xf numFmtId="0" fontId="30" fillId="0" borderId="1" pivotButton="0" quotePrefix="0" xfId="0"/>
    <xf numFmtId="0" fontId="30" fillId="0" borderId="1" applyAlignment="1" pivotButton="0" quotePrefix="0" xfId="0">
      <alignment wrapText="1"/>
    </xf>
    <xf numFmtId="0" fontId="31" fillId="2" borderId="0" applyAlignment="1" pivotButton="0" quotePrefix="0" xfId="0">
      <alignment horizontal="left" vertical="center"/>
    </xf>
    <xf numFmtId="0" fontId="32" fillId="6" borderId="0" applyAlignment="1" pivotButton="0" quotePrefix="0" xfId="0">
      <alignment horizontal="center" vertical="center"/>
    </xf>
    <xf numFmtId="0" fontId="33" fillId="6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0" fontId="36" fillId="5" borderId="0" applyAlignment="1" pivotButton="0" quotePrefix="0" xfId="0">
      <alignment horizontal="center" vertical="center"/>
    </xf>
    <xf numFmtId="0" fontId="37" fillId="5" borderId="0" applyAlignment="1" pivotButton="0" quotePrefix="0" xfId="0">
      <alignment horizontal="center" vertical="center"/>
    </xf>
    <xf numFmtId="0" fontId="38" fillId="8" borderId="0" applyAlignment="1" pivotButton="0" quotePrefix="0" xfId="0">
      <alignment horizontal="center" vertical="center"/>
    </xf>
    <xf numFmtId="0" fontId="39" fillId="8" borderId="0" applyAlignment="1" pivotButton="0" quotePrefix="0" xfId="0">
      <alignment horizontal="center" vertical="center"/>
    </xf>
    <xf numFmtId="164" fontId="40" fillId="6" borderId="0" applyAlignment="1" pivotButton="0" quotePrefix="0" xfId="0">
      <alignment horizontal="center" vertical="center"/>
    </xf>
    <xf numFmtId="164" fontId="41" fillId="7" borderId="0" applyAlignment="1" pivotButton="0" quotePrefix="0" xfId="0">
      <alignment horizontal="center" vertical="center"/>
    </xf>
    <xf numFmtId="164" fontId="42" fillId="5" borderId="0" applyAlignment="1" pivotButton="0" quotePrefix="0" xfId="0">
      <alignment horizontal="center" vertical="center"/>
    </xf>
    <xf numFmtId="0" fontId="43" fillId="8" borderId="0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4" fillId="7" borderId="0" applyAlignment="1" pivotButton="0" quotePrefix="0" xfId="0">
      <alignment horizontal="center" vertical="center"/>
    </xf>
    <xf numFmtId="0" fontId="44" fillId="5" borderId="0" applyAlignment="1" pivotButton="0" quotePrefix="0" xfId="0">
      <alignment horizontal="center" vertical="center"/>
    </xf>
    <xf numFmtId="0" fontId="44" fillId="8" borderId="0" applyAlignment="1" pivotButton="0" quotePrefix="0" xfId="0">
      <alignment horizontal="center" vertical="center"/>
    </xf>
    <xf numFmtId="0" fontId="45" fillId="0" borderId="0" pivotButton="0" quotePrefix="0" xfId="0"/>
    <xf numFmtId="0" fontId="10" fillId="9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167" fontId="7" fillId="0" borderId="0" pivotButton="0" quotePrefix="0" xfId="0"/>
    <xf numFmtId="0" fontId="46" fillId="5" borderId="0" pivotButton="0" quotePrefix="0" xfId="0"/>
    <xf numFmtId="0" fontId="47" fillId="0" borderId="0" applyAlignment="1" pivotButton="0" quotePrefix="0" xfId="0">
      <alignment wrapText="1"/>
    </xf>
    <xf numFmtId="0" fontId="31" fillId="2" borderId="1" applyAlignment="1" pivotButton="0" quotePrefix="0" xfId="0">
      <alignment horizontal="left" vertical="center"/>
    </xf>
    <xf numFmtId="0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34" fillId="7" borderId="1" applyAlignment="1" pivotButton="0" quotePrefix="0" xfId="0">
      <alignment horizontal="center" vertical="center"/>
    </xf>
    <xf numFmtId="0" fontId="35" fillId="7" borderId="1" applyAlignment="1" pivotButton="0" quotePrefix="0" xfId="0">
      <alignment horizontal="center" vertical="center"/>
    </xf>
    <xf numFmtId="0" fontId="36" fillId="5" borderId="1" applyAlignment="1" pivotButton="0" quotePrefix="0" xfId="0">
      <alignment horizontal="center" vertical="center"/>
    </xf>
    <xf numFmtId="0" fontId="37" fillId="5" borderId="1" applyAlignment="1" pivotButton="0" quotePrefix="0" xfId="0">
      <alignment horizontal="center" vertical="center"/>
    </xf>
    <xf numFmtId="0" fontId="38" fillId="8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164" fontId="40" fillId="6" borderId="1" applyAlignment="1" pivotButton="0" quotePrefix="0" xfId="0">
      <alignment horizontal="center" vertical="center"/>
    </xf>
    <xf numFmtId="164" fontId="41" fillId="7" borderId="1" applyAlignment="1" pivotButton="0" quotePrefix="0" xfId="0">
      <alignment horizontal="center" vertical="center"/>
    </xf>
    <xf numFmtId="164" fontId="42" fillId="5" borderId="1" applyAlignment="1" pivotButton="0" quotePrefix="0" xfId="0">
      <alignment horizontal="center" vertical="center"/>
    </xf>
    <xf numFmtId="0" fontId="43" fillId="8" borderId="1" applyAlignment="1" pivotButton="0" quotePrefix="0" xfId="0">
      <alignment horizontal="center" vertical="center"/>
    </xf>
    <xf numFmtId="0" fontId="44" fillId="6" borderId="1" applyAlignment="1" pivotButton="0" quotePrefix="0" xfId="0">
      <alignment horizontal="center" vertical="center"/>
    </xf>
    <xf numFmtId="0" fontId="44" fillId="7" borderId="1" applyAlignment="1" pivotButton="0" quotePrefix="0" xfId="0">
      <alignment horizontal="center" vertical="center"/>
    </xf>
    <xf numFmtId="0" fontId="44" fillId="5" borderId="1" applyAlignment="1" pivotButton="0" quotePrefix="0" xfId="0">
      <alignment horizontal="center" vertical="center"/>
    </xf>
    <xf numFmtId="0" fontId="44" fillId="8" borderId="1" applyAlignment="1" pivotButton="0" quotePrefix="0" xfId="0">
      <alignment horizontal="center" vertical="center"/>
    </xf>
    <xf numFmtId="0" fontId="45" fillId="0" borderId="1" pivotButton="0" quotePrefix="0" xfId="0"/>
    <xf numFmtId="0" fontId="10" fillId="9" borderId="1" applyAlignment="1" pivotButton="0" quotePrefix="0" xfId="0">
      <alignment horizontal="center"/>
    </xf>
    <xf numFmtId="0" fontId="13" fillId="0" borderId="1" pivotButton="0" quotePrefix="0" xfId="0"/>
    <xf numFmtId="165" fontId="13" fillId="0" borderId="1" pivotButton="0" quotePrefix="0" xfId="0"/>
    <xf numFmtId="167" fontId="7" fillId="0" borderId="1" pivotButton="0" quotePrefix="0" xfId="0"/>
    <xf numFmtId="0" fontId="46" fillId="5" borderId="1" pivotButton="0" quotePrefix="0" xfId="0"/>
    <xf numFmtId="0" fontId="47" fillId="0" borderId="1" applyAlignment="1" pivotButton="0" quotePrefix="0" xfId="0">
      <alignment wrapText="1"/>
    </xf>
    <xf numFmtId="0" fontId="30" fillId="0" borderId="0" applyAlignment="1" pivotButton="0" quotePrefix="0" xfId="0">
      <alignment vertical="center" wrapText="1"/>
    </xf>
    <xf numFmtId="0" fontId="30" fillId="0" borderId="1" applyAlignment="1" pivotButton="0" quotePrefix="0" xfId="0">
      <alignment vertical="center" wrapText="1"/>
    </xf>
    <xf numFmtId="0" fontId="47" fillId="0" borderId="0" applyAlignment="1" pivotButton="0" quotePrefix="0" xfId="0">
      <alignment vertical="center" wrapText="1"/>
    </xf>
    <xf numFmtId="0" fontId="47" fillId="0" borderId="1" applyAlignment="1" pivotButton="0" quotePrefix="0" xfId="0">
      <alignment vertical="center" wrapText="1"/>
    </xf>
    <xf numFmtId="168" fontId="11" fillId="4" borderId="0" applyAlignment="1" pivotButton="0" quotePrefix="0" xfId="0">
      <alignment horizontal="right" vertical="center"/>
    </xf>
    <xf numFmtId="168" fontId="11" fillId="4" borderId="1" applyAlignment="1" pivotButton="0" quotePrefix="0" xfId="0">
      <alignment horizontal="right" vertical="center"/>
    </xf>
    <xf numFmtId="168" fontId="7" fillId="0" borderId="0" pivotButton="0" quotePrefix="0" xfId="0"/>
    <xf numFmtId="168" fontId="7" fillId="0" borderId="1" pivotButton="0" quotePrefix="0" xfId="0"/>
    <xf numFmtId="168" fontId="11" fillId="4" borderId="0" pivotButton="0" quotePrefix="0" xfId="0"/>
    <xf numFmtId="168" fontId="13" fillId="0" borderId="0" pivotButton="0" quotePrefix="0" xfId="0"/>
    <xf numFmtId="168" fontId="11" fillId="4" borderId="1" pivotButton="0" quotePrefix="0" xfId="0"/>
    <xf numFmtId="168" fontId="13" fillId="0" borderId="1" pivotButton="0" quotePrefix="0" xfId="0"/>
    <xf numFmtId="168" fontId="40" fillId="6" borderId="0" applyAlignment="1" pivotButton="0" quotePrefix="0" xfId="0">
      <alignment horizontal="center" vertical="center"/>
    </xf>
    <xf numFmtId="168" fontId="41" fillId="7" borderId="0" applyAlignment="1" pivotButton="0" quotePrefix="0" xfId="0">
      <alignment horizontal="center" vertical="center"/>
    </xf>
    <xf numFmtId="168" fontId="42" fillId="5" borderId="0" applyAlignment="1" pivotButton="0" quotePrefix="0" xfId="0">
      <alignment horizontal="center" vertical="center"/>
    </xf>
    <xf numFmtId="168" fontId="40" fillId="6" borderId="1" applyAlignment="1" pivotButton="0" quotePrefix="0" xfId="0">
      <alignment horizontal="center" vertical="center"/>
    </xf>
    <xf numFmtId="168" fontId="41" fillId="7" borderId="1" applyAlignment="1" pivotButton="0" quotePrefix="0" xfId="0">
      <alignment horizontal="center" vertical="center"/>
    </xf>
    <xf numFmtId="168" fontId="42" fillId="5" borderId="1" applyAlignment="1" pivotButton="0" quotePrefix="0" xfId="0">
      <alignment horizontal="center" vertical="center"/>
    </xf>
    <xf numFmtId="169" fontId="13" fillId="0" borderId="0" pivotButton="0" quotePrefix="0" xfId="0"/>
    <xf numFmtId="169" fontId="13" fillId="0" borderId="1" pivotButton="0" quotePrefix="0" xfId="0"/>
    <xf numFmtId="0" fontId="8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48" fillId="10" borderId="0" pivotButton="0" quotePrefix="0" xfId="0"/>
    <xf numFmtId="0" fontId="9" fillId="10" borderId="0" applyAlignment="1" pivotButton="0" quotePrefix="0" xfId="0">
      <alignment horizontal="left" vertical="center"/>
    </xf>
    <xf numFmtId="0" fontId="48" fillId="10" borderId="0" applyAlignment="1" pivotButton="0" quotePrefix="0" xfId="0">
      <alignment horizontal="left"/>
    </xf>
    <xf numFmtId="0" fontId="48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3" fillId="11" borderId="0" applyAlignment="1" pivotButton="0" quotePrefix="0" xfId="0">
      <alignment horizontal="center" wrapText="1"/>
    </xf>
    <xf numFmtId="0" fontId="3" fillId="11" borderId="0" applyAlignment="1" pivotButton="0" quotePrefix="0" xfId="0">
      <alignment horizontal="center" vertical="center" wrapText="1"/>
    </xf>
    <xf numFmtId="0" fontId="11" fillId="12" borderId="0" applyAlignment="1" pivotButton="0" quotePrefix="0" xfId="0">
      <alignment vertical="center"/>
    </xf>
    <xf numFmtId="168" fontId="11" fillId="12" borderId="0" applyAlignment="1" pivotButton="0" quotePrefix="0" xfId="0">
      <alignment horizontal="right" vertical="center"/>
    </xf>
    <xf numFmtId="165" fontId="11" fillId="12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49" fillId="12" borderId="0" pivotButton="0" quotePrefix="0" xfId="0"/>
    <xf numFmtId="0" fontId="49" fillId="12" borderId="0" applyAlignment="1" pivotButton="0" quotePrefix="0" xfId="0">
      <alignment vertical="center"/>
    </xf>
    <xf numFmtId="0" fontId="11" fillId="13" borderId="0" applyAlignment="1" pivotButton="0" quotePrefix="0" xfId="0">
      <alignment vertical="center"/>
    </xf>
    <xf numFmtId="0" fontId="0" fillId="13" borderId="0" pivotButton="0" quotePrefix="0" xfId="0"/>
    <xf numFmtId="0" fontId="13" fillId="13" borderId="0" applyAlignment="1" pivotButton="0" quotePrefix="0" xfId="0">
      <alignment vertical="center"/>
    </xf>
    <xf numFmtId="0" fontId="50" fillId="13" borderId="0" pivotButton="0" quotePrefix="0" xfId="0"/>
    <xf numFmtId="0" fontId="50" fillId="13" borderId="0" applyAlignment="1" pivotButton="0" quotePrefix="0" xfId="0">
      <alignment vertical="center"/>
    </xf>
    <xf numFmtId="165" fontId="11" fillId="12" borderId="0" applyAlignment="1" pivotButton="0" quotePrefix="0" xfId="0">
      <alignment horizontal="right" vertical="center"/>
    </xf>
    <xf numFmtId="0" fontId="13" fillId="13" borderId="0" applyAlignment="1" pivotButton="0" quotePrefix="0" xfId="0">
      <alignment horizontal="right" vertical="center"/>
    </xf>
    <xf numFmtId="0" fontId="50" fillId="13" borderId="0" applyAlignment="1" pivotButton="0" quotePrefix="0" xfId="0">
      <alignment horizontal="right" vertical="center"/>
    </xf>
    <xf numFmtId="0" fontId="49" fillId="12" borderId="0" applyAlignment="1" pivotButton="0" quotePrefix="0" xfId="0">
      <alignment horizontal="center" vertical="center"/>
    </xf>
    <xf numFmtId="164" fontId="11" fillId="12" borderId="0" applyAlignment="1" pivotButton="0" quotePrefix="0" xfId="0">
      <alignment horizontal="right" vertical="center"/>
    </xf>
    <xf numFmtId="10" fontId="11" fillId="12" borderId="0" applyAlignment="1" pivotButton="0" quotePrefix="0" xfId="0">
      <alignment horizontal="right" vertical="center"/>
    </xf>
    <xf numFmtId="170" fontId="13" fillId="13" borderId="0" applyAlignment="1" pivotButton="0" quotePrefix="0" xfId="0">
      <alignment horizontal="right" vertical="center"/>
    </xf>
    <xf numFmtId="170" fontId="50" fillId="13" borderId="0" applyAlignment="1" pivotButton="0" quotePrefix="0" xfId="0">
      <alignment horizontal="right" vertical="center"/>
    </xf>
    <xf numFmtId="164" fontId="50" fillId="13" borderId="0" applyAlignment="1" pivotButton="0" quotePrefix="0" xfId="0">
      <alignment horizontal="right" vertical="center"/>
    </xf>
    <xf numFmtId="165" fontId="49" fillId="12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/>
    </xf>
    <xf numFmtId="0" fontId="7" fillId="10" borderId="0" pivotButton="0" quotePrefix="0" xfId="0"/>
    <xf numFmtId="0" fontId="10" fillId="10" borderId="0" pivotButton="0" quotePrefix="0" xfId="0"/>
    <xf numFmtId="0" fontId="12" fillId="14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164" fontId="52" fillId="0" borderId="0" pivotButton="0" quotePrefix="0" xfId="0"/>
    <xf numFmtId="164" fontId="52" fillId="0" borderId="0" applyAlignment="1" pivotButton="0" quotePrefix="0" xfId="0">
      <alignment horizontal="right"/>
    </xf>
    <xf numFmtId="170" fontId="43" fillId="8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/>
    </xf>
    <xf numFmtId="0" fontId="7" fillId="15" borderId="0" pivotButton="0" quotePrefix="0" xfId="0"/>
    <xf numFmtId="0" fontId="10" fillId="15" borderId="0" pivotButton="0" quotePrefix="0" xfId="0"/>
    <xf numFmtId="0" fontId="10" fillId="15" borderId="0" applyAlignment="1" pivotButton="0" quotePrefix="0" xfId="0">
      <alignment horizontal="center" wrapText="1"/>
    </xf>
    <xf numFmtId="0" fontId="10" fillId="15" borderId="0" applyAlignment="1" pivotButton="0" quotePrefix="0" xfId="0">
      <alignment wrapText="1"/>
    </xf>
    <xf numFmtId="0" fontId="10" fillId="15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vertical="center"/>
    </xf>
    <xf numFmtId="169" fontId="13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0" fontId="51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70" fontId="13" fillId="0" borderId="0" applyAlignment="1" pivotButton="0" quotePrefix="0" xfId="0">
      <alignment vertical="center"/>
    </xf>
    <xf numFmtId="165" fontId="51" fillId="0" borderId="0" applyAlignment="1" pivotButton="0" quotePrefix="0" xfId="0">
      <alignment vertical="center"/>
    </xf>
    <xf numFmtId="164" fontId="13" fillId="0" borderId="0" applyAlignment="1" pivotButton="0" quotePrefix="0" xfId="0">
      <alignment horizontal="right" vertical="center"/>
    </xf>
    <xf numFmtId="169" fontId="13" fillId="0" borderId="0" applyAlignment="1" pivotButton="0" quotePrefix="0" xfId="0">
      <alignment horizontal="right" vertical="center"/>
    </xf>
    <xf numFmtId="170" fontId="13" fillId="0" borderId="0" applyAlignment="1" pivotButton="0" quotePrefix="0" xfId="0">
      <alignment horizontal="right" vertical="center"/>
    </xf>
    <xf numFmtId="165" fontId="51" fillId="0" borderId="0" applyAlignment="1" pivotButton="0" quotePrefix="0" xfId="0">
      <alignment horizontal="right" vertical="center"/>
    </xf>
    <xf numFmtId="0" fontId="9" fillId="10" borderId="0" pivotButton="0" quotePrefix="0" xfId="0"/>
    <xf numFmtId="0" fontId="9" fillId="10" borderId="0" applyAlignment="1" pivotButton="0" quotePrefix="0" xfId="0">
      <alignment horizontal="left"/>
    </xf>
    <xf numFmtId="0" fontId="46" fillId="14" borderId="0" pivotButton="0" quotePrefix="0" xfId="0"/>
    <xf numFmtId="0" fontId="46" fillId="14" borderId="0" applyAlignment="1" pivotButton="0" quotePrefix="0" xfId="0">
      <alignment horizontal="left"/>
    </xf>
    <xf numFmtId="0" fontId="46" fillId="14" borderId="0" applyAlignment="1" pivotButton="0" quotePrefix="0" xfId="0">
      <alignment horizontal="left" vertical="center"/>
    </xf>
    <xf numFmtId="0" fontId="47" fillId="14" borderId="0" applyAlignment="1" pivotButton="0" quotePrefix="0" xfId="0">
      <alignment vertical="center" wrapText="1"/>
    </xf>
    <xf numFmtId="0" fontId="36" fillId="14" borderId="0" applyAlignment="1" pivotButton="0" quotePrefix="0" xfId="0">
      <alignment vertical="center" wrapText="1"/>
    </xf>
    <xf numFmtId="0" fontId="36" fillId="14" borderId="0" applyAlignment="1" pivotButton="0" quotePrefix="0" xfId="0">
      <alignment horizontal="left" vertical="center" wrapText="1"/>
    </xf>
    <xf numFmtId="0" fontId="7" fillId="14" borderId="0" pivotButton="0" quotePrefix="0" xfId="0"/>
    <xf numFmtId="0" fontId="12" fillId="14" borderId="0" applyAlignment="1" pivotButton="0" quotePrefix="0" xfId="0">
      <alignment horizontal="left"/>
    </xf>
    <xf numFmtId="0" fontId="12" fillId="14" borderId="0" applyAlignment="1" pivotButton="0" quotePrefix="0" xfId="0">
      <alignment horizontal="left" vertical="center"/>
    </xf>
    <xf numFmtId="0" fontId="53" fillId="0" borderId="0" pivotButton="0" quotePrefix="0" xfId="0"/>
    <xf numFmtId="0" fontId="53" fillId="0" borderId="0" applyAlignment="1" pivotButton="0" quotePrefix="0" xfId="0">
      <alignment wrapText="1"/>
    </xf>
    <xf numFmtId="0" fontId="53" fillId="0" borderId="0" applyAlignment="1" pivotButton="0" quotePrefix="0" xfId="0">
      <alignment vertical="center" wrapText="1"/>
    </xf>
    <xf numFmtId="164" fontId="7" fillId="0" borderId="0" pivotButton="0" quotePrefix="0" xfId="0"/>
    <xf numFmtId="164" fontId="40" fillId="6" borderId="1" applyAlignment="1" pivotButton="0" quotePrefix="0" xfId="0">
      <alignment horizontal="center" vertical="center"/>
    </xf>
    <xf numFmtId="164" fontId="41" fillId="7" borderId="1" applyAlignment="1" pivotButton="0" quotePrefix="0" xfId="0">
      <alignment horizontal="center" vertical="center"/>
    </xf>
    <xf numFmtId="164" fontId="42" fillId="5" borderId="1" applyAlignment="1" pivotButton="0" quotePrefix="0" xfId="0">
      <alignment horizontal="center" vertical="center"/>
    </xf>
    <xf numFmtId="170" fontId="43" fillId="8" borderId="1" applyAlignment="1" pivotButton="0" quotePrefix="0" xfId="0">
      <alignment horizontal="center" vertical="center"/>
    </xf>
    <xf numFmtId="167" fontId="7" fillId="0" borderId="0" pivotButton="0" quotePrefix="0" xfId="0"/>
    <xf numFmtId="168" fontId="7" fillId="0" borderId="0" pivotButton="0" quotePrefix="0" xfId="0"/>
    <xf numFmtId="164" fontId="13" fillId="0" borderId="0" applyAlignment="1" pivotButton="0" quotePrefix="0" xfId="0">
      <alignment horizontal="right" vertical="center"/>
    </xf>
    <xf numFmtId="169" fontId="13" fillId="0" borderId="0" applyAlignment="1" pivotButton="0" quotePrefix="0" xfId="0">
      <alignment horizontal="right" vertical="center"/>
    </xf>
    <xf numFmtId="170" fontId="13" fillId="0" borderId="0" applyAlignment="1" pivotButton="0" quotePrefix="0" xfId="0">
      <alignment horizontal="right" vertical="center"/>
    </xf>
    <xf numFmtId="165" fontId="51" fillId="0" borderId="0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54" fillId="16" borderId="2" applyAlignment="1" pivotButton="0" quotePrefix="0" xfId="0">
      <alignment horizontal="center" vertical="center"/>
    </xf>
    <xf numFmtId="164" fontId="11" fillId="12" borderId="0" applyAlignment="1" pivotButton="0" quotePrefix="0" xfId="0">
      <alignment horizontal="right" vertical="center"/>
    </xf>
    <xf numFmtId="10" fontId="11" fillId="12" borderId="0" applyAlignment="1" pivotButton="0" quotePrefix="0" xfId="0">
      <alignment horizontal="right" vertical="center"/>
    </xf>
    <xf numFmtId="170" fontId="13" fillId="13" borderId="0" applyAlignment="1" pivotButton="0" quotePrefix="0" xfId="0">
      <alignment horizontal="right" vertical="center"/>
    </xf>
    <xf numFmtId="170" fontId="50" fillId="13" borderId="0" applyAlignment="1" pivotButton="0" quotePrefix="0" xfId="0">
      <alignment horizontal="right" vertical="center"/>
    </xf>
    <xf numFmtId="164" fontId="50" fillId="13" borderId="0" applyAlignment="1" pivotButton="0" quotePrefix="0" xfId="0">
      <alignment horizontal="right" vertical="center"/>
    </xf>
    <xf numFmtId="165" fontId="49" fillId="12" borderId="0" applyAlignment="1" pivotButton="0" quotePrefix="0" xfId="0">
      <alignment horizontal="center" vertical="center"/>
    </xf>
    <xf numFmtId="0" fontId="55" fillId="17" borderId="2" applyAlignment="1" pivotButton="0" quotePrefix="0" xfId="0">
      <alignment horizontal="center" vertical="center"/>
    </xf>
    <xf numFmtId="0" fontId="56" fillId="10" borderId="1" applyAlignment="1" pivotButton="0" quotePrefix="0" xfId="0">
      <alignment horizontal="left"/>
    </xf>
    <xf numFmtId="164" fontId="52" fillId="0" borderId="0" applyAlignment="1" pivotButton="0" quotePrefix="0" xfId="0">
      <alignment horizontal="right"/>
    </xf>
    <xf numFmtId="0" fontId="57" fillId="0" borderId="2" applyAlignment="1" pivotButton="0" quotePrefix="0" xfId="0">
      <alignment horizontal="left" vertical="center"/>
    </xf>
    <xf numFmtId="10" fontId="55" fillId="17" borderId="2" applyAlignment="1" pivotButton="0" quotePrefix="0" xfId="0">
      <alignment horizontal="center" vertical="center"/>
    </xf>
    <xf numFmtId="0" fontId="55" fillId="17" borderId="2" applyAlignment="1" pivotButton="0" quotePrefix="0" xfId="0">
      <alignment horizontal="left" vertical="center"/>
    </xf>
    <xf numFmtId="165" fontId="11" fillId="4" borderId="0" pivotButton="0" quotePrefix="0" xfId="0"/>
    <xf numFmtId="164" fontId="11" fillId="4" borderId="0" pivotButton="0" quotePrefix="0" xfId="0"/>
    <xf numFmtId="164" fontId="13" fillId="0" borderId="0" pivotButton="0" quotePrefix="0" xfId="0"/>
    <xf numFmtId="169" fontId="13" fillId="0" borderId="0" pivotButton="0" quotePrefix="0" xfId="0"/>
    <xf numFmtId="168" fontId="11" fillId="4" borderId="0" pivotButton="0" quotePrefix="0" xfId="0"/>
    <xf numFmtId="168" fontId="13" fillId="0" borderId="0" pivotButton="0" quotePrefix="0" xfId="0"/>
    <xf numFmtId="165" fontId="56" fillId="4" borderId="0" pivotButton="0" quotePrefix="0" xfId="0"/>
    <xf numFmtId="165" fontId="57" fillId="4" borderId="2" applyAlignment="1" pivotButton="0" quotePrefix="0" xfId="0">
      <alignment horizontal="left" vertical="center"/>
    </xf>
    <xf numFmtId="168" fontId="55" fillId="17" borderId="2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/>
    </xf>
    <xf numFmtId="0" fontId="46" fillId="14" borderId="1" applyAlignment="1" pivotButton="0" quotePrefix="0" xfId="0">
      <alignment horizontal="left" vertical="center"/>
    </xf>
    <xf numFmtId="0" fontId="53" fillId="0" borderId="1" applyAlignment="1" pivotButton="0" quotePrefix="0" xfId="0">
      <alignment vertical="center" wrapText="1"/>
    </xf>
    <xf numFmtId="0" fontId="36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/>
    </xf>
    <xf numFmtId="0" fontId="58" fillId="0" borderId="0" pivotButton="0" quotePrefix="0" xfId="0"/>
  </cellXfs>
  <cellStyles count="1">
    <cellStyle name="Normal" xfId="0"/>
  </cellStyles>
  <dxfs count="8">
    <dxf>
      <font>
        <color rgb="FFB45309"/>
      </font>
      <fill>
        <patternFill>
          <bgColor rgb="FFFFFBEB"/>
        </patternFill>
      </fill>
    </dxf>
    <dxf>
      <font>
        <i val="1"/>
        <color rgb="FF6B7280"/>
      </font>
      <fill>
        <patternFill>
          <bgColor rgb="FFF3F4F6"/>
        </patternFill>
      </fill>
    </dxf>
    <dxf>
      <font>
        <color rgb="FFBE123C"/>
      </font>
    </dxf>
    <dxf>
      <font>
        <color rgb="FF047857"/>
      </font>
    </dxf>
    <dxf>
      <font>
        <color rgb="FFBE123C"/>
      </font>
    </dxf>
    <dxf>
      <font>
        <color rgb="FF047857"/>
      </font>
    </dxf>
    <dxf>
      <fill>
        <patternFill>
          <bgColor rgb="FFFFFBEB"/>
        </patternFill>
      </fill>
    </dxf>
    <dxf>
      <fill>
        <patternFill patternType="solid"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Money Allocation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v>Amount</v>
          </tx>
          <spPr>
            <a:ln>
              <a:prstDash val="solid"/>
            </a:ln>
          </spPr>
          <cat>
            <strRef>
              <f>'Dashboard'!$P$3:$P$5</f>
              <strCache>
                <ptCount val="0"/>
              </strCache>
            </strRef>
          </cat>
          <val>
            <numRef>
              <f>'Dashboard'!$Q$3:$Q$5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10"/>
      </doughnutChart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Total Money by Snapshot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Total Money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'Dashboard'!$P$11:$P$17</f>
              <strCache>
                <ptCount val="0"/>
              </strCache>
            </strRef>
          </cat>
          <val>
            <numRef>
              <f>'Dashboard'!$Q$11:$Q$17</f>
              <numCache>
                <formatCode>₱#,##0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10</row>
      <rowOff>0</rowOff>
    </from>
    <to>
      <col>14</col>
      <colOff>0</colOff>
      <row>25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0</colOff>
      <row>27</row>
      <rowOff>0</rowOff>
    </from>
    <to>
      <col>14</col>
      <colOff>0</colOff>
      <row>43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ccountsInterestTable" displayName="AccountsInterestTable" ref="B5:N17" headerRowCount="1">
  <tableColumns count="13">
    <tableColumn id="1" name="Account Name"/>
    <tableColumn id="2" name="Account Type"/>
    <tableColumn id="3" name="Institution"/>
    <tableColumn id="4" name="Recorded Balance (₱)"/>
    <tableColumn id="5" name="Interest Rate"/>
    <tableColumn id="6" name="Rate Basis"/>
    <tableColumn id="7" name="Est. Monthly Interest (₱)"/>
    <tableColumn id="8" name="Est. Annual Interest (₱)"/>
    <tableColumn id="9" name="Accrued Interest (₱)"/>
    <tableColumn id="10" name="Calculated Balance Today (₱)"/>
    <tableColumn id="11" name="Last Updated"/>
    <tableColumn id="12" name="Include in Total"/>
    <tableColumn id="13" name="Notes"/>
  </tableColumns>
  <tableStyleInfo name="TableStyleMedium2"/>
</table>
</file>

<file path=xl/tables/table2.xml><?xml version="1.0" encoding="utf-8"?>
<table xmlns="http://schemas.openxmlformats.org/spreadsheetml/2006/main" id="2" name="BalanceHistoryTable" displayName="BalanceHistoryTable" ref="B5:H100" headerRowCount="1">
  <tableColumns count="7">
    <tableColumn id="1" name="Snapshot Date"/>
    <tableColumn id="2" name="Bank Total (₱)"/>
    <tableColumn id="3" name="E-Wallet Total (₱)"/>
    <tableColumn id="4" name="Cash / Other (₱)"/>
    <tableColumn id="5" name="Total Money (₱)"/>
    <tableColumn id="6" name="Change (₱)"/>
    <tableColumn id="7" name="Change (%)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" customWidth="1" style="52" min="1" max="1"/>
    <col width="18" customWidth="1" style="52" min="2" max="2"/>
    <col width="13" customWidth="1" style="52" min="3" max="3"/>
    <col width="15" customWidth="1" style="52" min="4" max="4"/>
    <col width="18" customWidth="1" style="52" min="5" max="5"/>
    <col width="13" customWidth="1" style="52" min="6" max="6"/>
    <col width="17" customWidth="1" style="52" min="7" max="7"/>
    <col width="15" customWidth="1" style="52" min="8" max="8"/>
    <col width="15" customWidth="1" style="52" min="9" max="9"/>
    <col width="15" customWidth="1" style="52" min="10" max="10"/>
    <col width="15" customWidth="1" style="52" min="11" max="11"/>
    <col width="15" customWidth="1" style="52" min="12" max="12"/>
    <col width="15" customWidth="1" style="52" min="13" max="13"/>
    <col width="3" customWidth="1" style="52" min="14" max="14"/>
    <col width="2" customWidth="1" style="52" min="15" max="15"/>
    <col width="12" customWidth="1" style="52" min="16" max="16"/>
    <col width="14" customWidth="1" style="52" min="17" max="17"/>
  </cols>
  <sheetData>
    <row r="1" ht="30" customHeight="1" s="52">
      <c r="A1" s="53" t="n"/>
      <c r="B1" s="205" t="inlineStr">
        <is>
          <t>OVERALL MONEY 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53" t="n"/>
      <c r="P1" s="53" t="n"/>
      <c r="Q1" s="53" t="n"/>
    </row>
    <row r="2" ht="30" customHeight="1" s="52">
      <c r="A2" s="53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53" t="n"/>
      <c r="P2" s="53" t="inlineStr">
        <is>
          <t>Category</t>
        </is>
      </c>
      <c r="Q2" s="53" t="inlineStr">
        <is>
          <t>Amount</t>
        </is>
      </c>
    </row>
    <row r="3" ht="21" customHeight="1" s="52">
      <c r="A3" s="53" t="n"/>
      <c r="B3" s="92" t="inlineStr">
        <is>
          <t>Track your total money across banks, e-wallets, and cash, including estimated interest growth.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53" t="n"/>
      <c r="P3" s="53" t="inlineStr">
        <is>
          <t>Bank</t>
        </is>
      </c>
      <c r="Q3" s="329">
        <f>SUMIFS(Accounts!$K$6:$K$17,Accounts!$M$6:$M$17,"Yes",Accounts!$C$6:$C$17,"Bank")</f>
        <v/>
      </c>
    </row>
    <row r="4" ht="21" customHeight="1" s="52">
      <c r="A4" s="53" t="n"/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inlineStr">
        <is>
          <t>E-Wallet</t>
        </is>
      </c>
      <c r="Q4" s="329">
        <f>SUMIFS(Accounts!$K$6:$K$17,Accounts!$M$6:$M$17,"Yes",Accounts!$C$6:$C$17,"E-Wallet")</f>
        <v/>
      </c>
    </row>
    <row r="5" ht="21" customHeight="1" s="52">
      <c r="A5" s="53" t="n"/>
      <c r="B5" s="206" t="inlineStr">
        <is>
          <t>TOTAL MONEY</t>
        </is>
      </c>
      <c r="C5" s="1" t="n"/>
      <c r="D5" s="1" t="n"/>
      <c r="E5" s="208" t="inlineStr">
        <is>
          <t>BANK BALANCE</t>
        </is>
      </c>
      <c r="F5" s="1" t="n"/>
      <c r="G5" s="1" t="n"/>
      <c r="H5" s="210" t="inlineStr">
        <is>
          <t>E-WALLET BALANCE</t>
        </is>
      </c>
      <c r="I5" s="1" t="n"/>
      <c r="J5" s="1" t="n"/>
      <c r="K5" s="212" t="inlineStr">
        <is>
          <t>INTEREST ACCRUED</t>
        </is>
      </c>
      <c r="L5" s="1" t="n"/>
      <c r="M5" s="1" t="n"/>
      <c r="N5" s="53" t="n"/>
      <c r="O5" s="53" t="n"/>
      <c r="P5" s="53" t="inlineStr">
        <is>
          <t>Cash / Other</t>
        </is>
      </c>
      <c r="Q5" s="329">
        <f>SUMIFS(Accounts!$K$6:$K$17,Accounts!$M$6:$M$17,"Yes",Accounts!$C$6:$C$17,"Cash / Other")</f>
        <v/>
      </c>
    </row>
    <row r="6" ht="21" customHeight="1" s="52">
      <c r="A6" s="53" t="n"/>
      <c r="B6" s="330">
        <f>SUMIF(Accounts!$M$6:$M$17,"Yes",Accounts!$K$6:$K$17)</f>
        <v/>
      </c>
      <c r="C6" s="1" t="n"/>
      <c r="D6" s="1" t="n"/>
      <c r="E6" s="331">
        <f>SUMIFS(Accounts!$K$6:$K$17,Accounts!$M$6:$M$17,"Yes",Accounts!$C$6:$C$17,"Bank")</f>
        <v/>
      </c>
      <c r="F6" s="1" t="n"/>
      <c r="G6" s="1" t="n"/>
      <c r="H6" s="332">
        <f>SUMIFS(Accounts!$K$6:$K$17,Accounts!$M$6:$M$17,"Yes",Accounts!$C$6:$C$17,"E-Wallet")</f>
        <v/>
      </c>
      <c r="I6" s="1" t="n"/>
      <c r="J6" s="1" t="n"/>
      <c r="K6" s="333">
        <f>SUMIF(Accounts!$M$6:$M$17,"Yes",Accounts!$J$6:$J$17)</f>
        <v/>
      </c>
      <c r="L6" s="1" t="n"/>
      <c r="M6" s="1" t="n"/>
      <c r="N6" s="53" t="n"/>
      <c r="O6" s="53" t="n"/>
      <c r="P6" s="53" t="inlineStr">
        <is>
          <t>Excluded</t>
        </is>
      </c>
      <c r="Q6" s="329">
        <f>SUMIF(Accounts!$M$6:$M$17,"No",Accounts!$K$6:$K$17)</f>
        <v/>
      </c>
    </row>
    <row r="7" ht="21" customHeight="1" s="52">
      <c r="A7" s="53" t="n"/>
      <c r="B7" s="1" t="n"/>
      <c r="D7" s="1" t="n"/>
      <c r="E7" s="1" t="n"/>
      <c r="G7" s="1" t="n"/>
      <c r="H7" s="1" t="n"/>
      <c r="J7" s="1" t="n"/>
      <c r="K7" s="1" t="n"/>
      <c r="M7" s="1" t="n"/>
      <c r="N7" s="53" t="n"/>
      <c r="O7" s="53" t="n"/>
      <c r="P7" s="53" t="n"/>
      <c r="Q7" s="53" t="n"/>
    </row>
    <row r="8" ht="21" customHeight="1" s="52">
      <c r="A8" s="53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3" t="n"/>
      <c r="O8" s="53" t="n"/>
      <c r="P8" s="53" t="n"/>
      <c r="Q8" s="53" t="n"/>
    </row>
    <row r="9" ht="21" customHeight="1" s="52">
      <c r="A9" s="53" t="n"/>
      <c r="B9" s="218" t="inlineStr">
        <is>
          <t>Recorded balances plus estimated interest</t>
        </is>
      </c>
      <c r="C9" s="1" t="n"/>
      <c r="D9" s="1" t="n"/>
      <c r="E9" s="219" t="inlineStr">
        <is>
          <t>Calculated savings and checking balances</t>
        </is>
      </c>
      <c r="F9" s="1" t="n"/>
      <c r="G9" s="1" t="n"/>
      <c r="H9" s="220" t="inlineStr">
        <is>
          <t>Calculated digital wallet balances</t>
        </is>
      </c>
      <c r="I9" s="1" t="n"/>
      <c r="J9" s="1" t="n"/>
      <c r="K9" s="221" t="inlineStr">
        <is>
          <t>Estimated growth since each last update</t>
        </is>
      </c>
      <c r="L9" s="1" t="n"/>
      <c r="M9" s="1" t="n"/>
      <c r="N9" s="53" t="n"/>
      <c r="O9" s="53" t="n"/>
      <c r="P9" s="53" t="n"/>
      <c r="Q9" s="53" t="n"/>
    </row>
    <row r="10" ht="21" customHeight="1" s="52">
      <c r="A10" s="53" t="n"/>
      <c r="B10" s="53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inlineStr">
        <is>
          <t>Snapshot Date</t>
        </is>
      </c>
      <c r="Q10" s="53" t="inlineStr">
        <is>
          <t>Total Money</t>
        </is>
      </c>
    </row>
    <row r="11" ht="21" customHeight="1" s="52">
      <c r="A11" s="53" t="n"/>
      <c r="B11" s="222" t="inlineStr">
        <is>
          <t>ACCOUNT BREAKDOWN</t>
        </is>
      </c>
      <c r="C11" s="1" t="n"/>
      <c r="D11" s="1" t="n"/>
      <c r="E11" s="1" t="n"/>
      <c r="F11" s="1" t="n"/>
      <c r="G11" s="1" t="n"/>
      <c r="H11" s="1" t="n"/>
      <c r="I11" s="53" t="n"/>
      <c r="J11" s="53" t="n"/>
      <c r="K11" s="53" t="n"/>
      <c r="L11" s="53" t="n"/>
      <c r="M11" s="53" t="n"/>
      <c r="N11" s="53" t="n"/>
      <c r="O11" s="53" t="n"/>
      <c r="P11" s="334">
        <f>TEXT('Balance History'!B6,"mmm yy")</f>
        <v/>
      </c>
      <c r="Q11" s="335">
        <f>'Balance History'!F6</f>
        <v/>
      </c>
    </row>
    <row r="12" ht="30" customHeight="1" s="52">
      <c r="A12" s="53" t="n"/>
      <c r="B12" s="302" t="inlineStr">
        <is>
          <t>Account</t>
        </is>
      </c>
      <c r="C12" s="302" t="inlineStr">
        <is>
          <t>Type</t>
        </is>
      </c>
      <c r="D12" s="302" t="inlineStr">
        <is>
          <t>Institution</t>
        </is>
      </c>
      <c r="E12" s="302" t="inlineStr">
        <is>
          <t>Calculated Balance (₱)</t>
        </is>
      </c>
      <c r="F12" s="302" t="inlineStr">
        <is>
          <t>% of Total</t>
        </is>
      </c>
      <c r="G12" s="302" t="inlineStr">
        <is>
          <t>Accrued Interest (₱)</t>
        </is>
      </c>
      <c r="H12" s="302" t="inlineStr">
        <is>
          <t>Last Updated</t>
        </is>
      </c>
      <c r="I12" s="53" t="n"/>
      <c r="J12" s="53" t="n"/>
      <c r="K12" s="53" t="n"/>
      <c r="L12" s="53" t="n"/>
      <c r="M12" s="53" t="n"/>
      <c r="N12" s="53" t="n"/>
      <c r="O12" s="53" t="n"/>
      <c r="P12" s="334">
        <f>TEXT('Balance History'!B7,"mmm yy")</f>
        <v/>
      </c>
      <c r="Q12" s="335">
        <f>'Balance History'!F7</f>
        <v/>
      </c>
    </row>
    <row r="13" ht="22" customHeight="1" s="52">
      <c r="A13" s="53" t="n"/>
      <c r="B13" s="303">
        <f>IF(Accounts!B6="","",Accounts!B6)</f>
        <v/>
      </c>
      <c r="C13" s="303">
        <f>IF(Accounts!B6="","",Accounts!C6)</f>
        <v/>
      </c>
      <c r="D13" s="303">
        <f>IF(Accounts!B6="","",Accounts!D6)</f>
        <v/>
      </c>
      <c r="E13" s="336">
        <f>IF(B13="","",IF(Accounts!M6="Yes",Accounts!K6,"Excluded"))</f>
        <v/>
      </c>
      <c r="F13" s="337">
        <f>IF(B13="","",IFERROR(IF(Accounts!M6="Yes",Accounts!K6,0)/SUMIF(Accounts!$M$6:$M$17,"Yes",Accounts!$K$6:$K$17),0))</f>
        <v/>
      </c>
      <c r="G13" s="338">
        <f>IF(B13="","",IF(Accounts!M6="Yes",Accounts!J6,0))</f>
        <v/>
      </c>
      <c r="H13" s="339">
        <f>IF(Accounts!B6="","",Accounts!L6)</f>
        <v/>
      </c>
      <c r="I13" s="53" t="n"/>
      <c r="J13" s="53" t="n"/>
      <c r="K13" s="53" t="n"/>
      <c r="L13" s="53" t="n"/>
      <c r="M13" s="53" t="n"/>
      <c r="N13" s="53" t="n"/>
      <c r="O13" s="53" t="n"/>
      <c r="P13" s="334">
        <f>TEXT('Balance History'!B8,"mmm yy")</f>
        <v/>
      </c>
      <c r="Q13" s="335">
        <f>'Balance History'!F8</f>
        <v/>
      </c>
    </row>
    <row r="14" ht="22" customHeight="1" s="52">
      <c r="A14" s="53" t="n"/>
      <c r="B14" s="303">
        <f>IF(Accounts!B7="","",Accounts!B7)</f>
        <v/>
      </c>
      <c r="C14" s="303">
        <f>IF(Accounts!B7="","",Accounts!C7)</f>
        <v/>
      </c>
      <c r="D14" s="303">
        <f>IF(Accounts!B7="","",Accounts!D7)</f>
        <v/>
      </c>
      <c r="E14" s="336">
        <f>IF(B14="","",IF(Accounts!M7="Yes",Accounts!K7,"Excluded"))</f>
        <v/>
      </c>
      <c r="F14" s="337">
        <f>IF(B14="","",IFERROR(IF(Accounts!M7="Yes",Accounts!K7,0)/SUMIF(Accounts!$M$6:$M$17,"Yes",Accounts!$K$6:$K$17),0))</f>
        <v/>
      </c>
      <c r="G14" s="338">
        <f>IF(B14="","",IF(Accounts!M7="Yes",Accounts!J7,0))</f>
        <v/>
      </c>
      <c r="H14" s="339">
        <f>IF(Accounts!B7="","",Accounts!L7)</f>
        <v/>
      </c>
      <c r="I14" s="53" t="n"/>
      <c r="J14" s="53" t="n"/>
      <c r="K14" s="53" t="n"/>
      <c r="L14" s="53" t="n"/>
      <c r="M14" s="53" t="n"/>
      <c r="N14" s="53" t="n"/>
      <c r="O14" s="53" t="n"/>
      <c r="P14" s="334">
        <f>TEXT('Balance History'!B9,"mmm yy")</f>
        <v/>
      </c>
      <c r="Q14" s="335">
        <f>'Balance History'!F9</f>
        <v/>
      </c>
    </row>
    <row r="15" ht="22" customHeight="1" s="52">
      <c r="A15" s="53" t="n"/>
      <c r="B15" s="303">
        <f>IF(Accounts!B8="","",Accounts!B8)</f>
        <v/>
      </c>
      <c r="C15" s="303">
        <f>IF(Accounts!B8="","",Accounts!C8)</f>
        <v/>
      </c>
      <c r="D15" s="303">
        <f>IF(Accounts!B8="","",Accounts!D8)</f>
        <v/>
      </c>
      <c r="E15" s="336">
        <f>IF(B15="","",IF(Accounts!M8="Yes",Accounts!K8,"Excluded"))</f>
        <v/>
      </c>
      <c r="F15" s="337">
        <f>IF(B15="","",IFERROR(IF(Accounts!M8="Yes",Accounts!K8,0)/SUMIF(Accounts!$M$6:$M$17,"Yes",Accounts!$K$6:$K$17),0))</f>
        <v/>
      </c>
      <c r="G15" s="338">
        <f>IF(B15="","",IF(Accounts!M8="Yes",Accounts!J8,0))</f>
        <v/>
      </c>
      <c r="H15" s="339">
        <f>IF(Accounts!B8="","",Accounts!L8)</f>
        <v/>
      </c>
      <c r="I15" s="53" t="n"/>
      <c r="J15" s="53" t="n"/>
      <c r="K15" s="53" t="n"/>
      <c r="L15" s="53" t="n"/>
      <c r="M15" s="53" t="n"/>
      <c r="N15" s="53" t="n"/>
      <c r="O15" s="53" t="n"/>
      <c r="P15" s="334">
        <f>TEXT('Balance History'!B10,"mmm yy")</f>
        <v/>
      </c>
      <c r="Q15" s="335">
        <f>'Balance History'!F10</f>
        <v/>
      </c>
    </row>
    <row r="16" ht="22" customHeight="1" s="52">
      <c r="A16" s="53" t="n"/>
      <c r="B16" s="303">
        <f>IF(Accounts!B9="","",Accounts!B9)</f>
        <v/>
      </c>
      <c r="C16" s="303">
        <f>IF(Accounts!B9="","",Accounts!C9)</f>
        <v/>
      </c>
      <c r="D16" s="303">
        <f>IF(Accounts!B9="","",Accounts!D9)</f>
        <v/>
      </c>
      <c r="E16" s="336">
        <f>IF(B16="","",IF(Accounts!M9="Yes",Accounts!K9,"Excluded"))</f>
        <v/>
      </c>
      <c r="F16" s="337">
        <f>IF(B16="","",IFERROR(IF(Accounts!M9="Yes",Accounts!K9,0)/SUMIF(Accounts!$M$6:$M$17,"Yes",Accounts!$K$6:$K$17),0))</f>
        <v/>
      </c>
      <c r="G16" s="338">
        <f>IF(B16="","",IF(Accounts!M9="Yes",Accounts!J9,0))</f>
        <v/>
      </c>
      <c r="H16" s="339">
        <f>IF(Accounts!B9="","",Accounts!L9)</f>
        <v/>
      </c>
      <c r="I16" s="53" t="n"/>
      <c r="J16" s="53" t="n"/>
      <c r="K16" s="53" t="n"/>
      <c r="L16" s="53" t="n"/>
      <c r="M16" s="53" t="n"/>
      <c r="N16" s="53" t="n"/>
      <c r="O16" s="53" t="n"/>
      <c r="P16" s="334">
        <f>TEXT('Balance History'!B11,"mmm yy")</f>
        <v/>
      </c>
      <c r="Q16" s="335">
        <f>'Balance History'!F11</f>
        <v/>
      </c>
    </row>
    <row r="17" ht="22" customHeight="1" s="52">
      <c r="A17" s="53" t="n"/>
      <c r="B17" s="303">
        <f>IF(Accounts!B10="","",Accounts!B10)</f>
        <v/>
      </c>
      <c r="C17" s="303">
        <f>IF(Accounts!B10="","",Accounts!C10)</f>
        <v/>
      </c>
      <c r="D17" s="303">
        <f>IF(Accounts!B10="","",Accounts!D10)</f>
        <v/>
      </c>
      <c r="E17" s="336">
        <f>IF(B17="","",IF(Accounts!M10="Yes",Accounts!K10,"Excluded"))</f>
        <v/>
      </c>
      <c r="F17" s="337">
        <f>IF(B17="","",IFERROR(IF(Accounts!M10="Yes",Accounts!K10,0)/SUMIF(Accounts!$M$6:$M$17,"Yes",Accounts!$K$6:$K$17),0))</f>
        <v/>
      </c>
      <c r="G17" s="338">
        <f>IF(B17="","",IF(Accounts!M10="Yes",Accounts!J10,0))</f>
        <v/>
      </c>
      <c r="H17" s="339">
        <f>IF(Accounts!B10="","",Accounts!L10)</f>
        <v/>
      </c>
      <c r="I17" s="53" t="n"/>
      <c r="J17" s="53" t="n"/>
      <c r="K17" s="53" t="n"/>
      <c r="L17" s="53" t="n"/>
      <c r="M17" s="53" t="n"/>
      <c r="N17" s="53" t="n"/>
      <c r="O17" s="53" t="n"/>
      <c r="P17" s="334">
        <f>TEXT('Balance History'!B12,"mmm yy")</f>
        <v/>
      </c>
      <c r="Q17" s="335">
        <f>'Balance History'!F12</f>
        <v/>
      </c>
    </row>
    <row r="18" ht="22" customHeight="1" s="52">
      <c r="A18" s="53" t="n"/>
      <c r="B18" s="303">
        <f>IF(Accounts!B11="","",Accounts!B11)</f>
        <v/>
      </c>
      <c r="C18" s="303">
        <f>IF(Accounts!B11="","",Accounts!C11)</f>
        <v/>
      </c>
      <c r="D18" s="303">
        <f>IF(Accounts!B11="","",Accounts!D11)</f>
        <v/>
      </c>
      <c r="E18" s="336">
        <f>IF(B18="","",IF(Accounts!M11="Yes",Accounts!K11,"Excluded"))</f>
        <v/>
      </c>
      <c r="F18" s="337">
        <f>IF(B18="","",IFERROR(IF(Accounts!M11="Yes",Accounts!K11,0)/SUMIF(Accounts!$M$6:$M$17,"Yes",Accounts!$K$6:$K$17),0))</f>
        <v/>
      </c>
      <c r="G18" s="338">
        <f>IF(B18="","",IF(Accounts!M11="Yes",Accounts!J11,0))</f>
        <v/>
      </c>
      <c r="H18" s="339">
        <f>IF(Accounts!B11="","",Accounts!L11)</f>
        <v/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22" customHeight="1" s="52">
      <c r="A19" s="53" t="n"/>
      <c r="B19" s="303">
        <f>IF(Accounts!B12="","",Accounts!B12)</f>
        <v/>
      </c>
      <c r="C19" s="303">
        <f>IF(Accounts!B12="","",Accounts!C12)</f>
        <v/>
      </c>
      <c r="D19" s="303">
        <f>IF(Accounts!B12="","",Accounts!D12)</f>
        <v/>
      </c>
      <c r="E19" s="336">
        <f>IF(B19="","",IF(Accounts!M12="Yes",Accounts!K12,"Excluded"))</f>
        <v/>
      </c>
      <c r="F19" s="337">
        <f>IF(B19="","",IFERROR(IF(Accounts!M12="Yes",Accounts!K12,0)/SUMIF(Accounts!$M$6:$M$17,"Yes",Accounts!$K$6:$K$17),0))</f>
        <v/>
      </c>
      <c r="G19" s="338">
        <f>IF(B19="","",IF(Accounts!M12="Yes",Accounts!J12,0))</f>
        <v/>
      </c>
      <c r="H19" s="339">
        <f>IF(Accounts!B12="","",Accounts!L12)</f>
        <v/>
      </c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22" customHeight="1" s="52">
      <c r="A20" s="53" t="n"/>
      <c r="B20" s="303">
        <f>IF(Accounts!B13="","",Accounts!B13)</f>
        <v/>
      </c>
      <c r="C20" s="303">
        <f>IF(Accounts!B13="","",Accounts!C13)</f>
        <v/>
      </c>
      <c r="D20" s="303">
        <f>IF(Accounts!B13="","",Accounts!D13)</f>
        <v/>
      </c>
      <c r="E20" s="336">
        <f>IF(B20="","",IF(Accounts!M13="Yes",Accounts!K13,"Excluded"))</f>
        <v/>
      </c>
      <c r="F20" s="337">
        <f>IF(B20="","",IFERROR(IF(Accounts!M13="Yes",Accounts!K13,0)/SUMIF(Accounts!$M$6:$M$17,"Yes",Accounts!$K$6:$K$17),0))</f>
        <v/>
      </c>
      <c r="G20" s="338">
        <f>IF(B20="","",IF(Accounts!M13="Yes",Accounts!J13,0))</f>
        <v/>
      </c>
      <c r="H20" s="339">
        <f>IF(Accounts!B13="","",Accounts!L13)</f>
        <v/>
      </c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22" customHeight="1" s="52">
      <c r="A21" s="53" t="n"/>
      <c r="B21" s="303">
        <f>IF(Accounts!B14="","",Accounts!B14)</f>
        <v/>
      </c>
      <c r="C21" s="303">
        <f>IF(Accounts!B14="","",Accounts!C14)</f>
        <v/>
      </c>
      <c r="D21" s="303">
        <f>IF(Accounts!B14="","",Accounts!D14)</f>
        <v/>
      </c>
      <c r="E21" s="336">
        <f>IF(B21="","",IF(Accounts!M14="Yes",Accounts!K14,"Excluded"))</f>
        <v/>
      </c>
      <c r="F21" s="337">
        <f>IF(B21="","",IFERROR(IF(Accounts!M14="Yes",Accounts!K14,0)/SUMIF(Accounts!$M$6:$M$17,"Yes",Accounts!$K$6:$K$17),0))</f>
        <v/>
      </c>
      <c r="G21" s="338">
        <f>IF(B21="","",IF(Accounts!M14="Yes",Accounts!J14,0))</f>
        <v/>
      </c>
      <c r="H21" s="339">
        <f>IF(Accounts!B14="","",Accounts!L14)</f>
        <v/>
      </c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22" customHeight="1" s="52">
      <c r="A22" s="53" t="n"/>
      <c r="B22" s="303">
        <f>IF(Accounts!B15="","",Accounts!B15)</f>
        <v/>
      </c>
      <c r="C22" s="303">
        <f>IF(Accounts!B15="","",Accounts!C15)</f>
        <v/>
      </c>
      <c r="D22" s="303">
        <f>IF(Accounts!B15="","",Accounts!D15)</f>
        <v/>
      </c>
      <c r="E22" s="336">
        <f>IF(B22="","",IF(Accounts!M15="Yes",Accounts!K15,"Excluded"))</f>
        <v/>
      </c>
      <c r="F22" s="337">
        <f>IF(B22="","",IFERROR(IF(Accounts!M15="Yes",Accounts!K15,0)/SUMIF(Accounts!$M$6:$M$17,"Yes",Accounts!$K$6:$K$17),0))</f>
        <v/>
      </c>
      <c r="G22" s="338">
        <f>IF(B22="","",IF(Accounts!M15="Yes",Accounts!J15,0))</f>
        <v/>
      </c>
      <c r="H22" s="339">
        <f>IF(Accounts!B15="","",Accounts!L15)</f>
        <v/>
      </c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22" customHeight="1" s="52">
      <c r="A23" s="53" t="n"/>
      <c r="B23" s="303">
        <f>IF(Accounts!B16="","",Accounts!B16)</f>
        <v/>
      </c>
      <c r="C23" s="303">
        <f>IF(Accounts!B16="","",Accounts!C16)</f>
        <v/>
      </c>
      <c r="D23" s="303">
        <f>IF(Accounts!B16="","",Accounts!D16)</f>
        <v/>
      </c>
      <c r="E23" s="336">
        <f>IF(B23="","",IF(Accounts!M16="Yes",Accounts!K16,"Excluded"))</f>
        <v/>
      </c>
      <c r="F23" s="337">
        <f>IF(B23="","",IFERROR(IF(Accounts!M16="Yes",Accounts!K16,0)/SUMIF(Accounts!$M$6:$M$17,"Yes",Accounts!$K$6:$K$17),0))</f>
        <v/>
      </c>
      <c r="G23" s="338">
        <f>IF(B23="","",IF(Accounts!M16="Yes",Accounts!J16,0))</f>
        <v/>
      </c>
      <c r="H23" s="339">
        <f>IF(Accounts!B16="","",Accounts!L16)</f>
        <v/>
      </c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22" customHeight="1" s="52">
      <c r="A24" s="53" t="n"/>
      <c r="B24" s="303">
        <f>IF(Accounts!B17="","",Accounts!B17)</f>
        <v/>
      </c>
      <c r="C24" s="303">
        <f>IF(Accounts!B17="","",Accounts!C17)</f>
        <v/>
      </c>
      <c r="D24" s="303">
        <f>IF(Accounts!B17="","",Accounts!D17)</f>
        <v/>
      </c>
      <c r="E24" s="336">
        <f>IF(B24="","",IF(Accounts!M17="Yes",Accounts!K17,"Excluded"))</f>
        <v/>
      </c>
      <c r="F24" s="337">
        <f>IF(B24="","",IFERROR(IF(Accounts!M17="Yes",Accounts!K17,0)/SUMIF(Accounts!$M$6:$M$17,"Yes",Accounts!$K$6:$K$17),0))</f>
        <v/>
      </c>
      <c r="G24" s="338">
        <f>IF(B24="","",IF(Accounts!M17="Yes",Accounts!J17,0))</f>
        <v/>
      </c>
      <c r="H24" s="339">
        <f>IF(Accounts!B17="","",Accounts!L17)</f>
        <v/>
      </c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21" customHeight="1" s="52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21" customHeight="1" s="52">
      <c r="A26" s="53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21" customHeight="1" s="52">
      <c r="A27" s="53" t="n"/>
      <c r="B27" s="222" t="inlineStr">
        <is>
          <t>OVERALL MONEY TREND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53" t="n"/>
      <c r="P27" s="53" t="n"/>
      <c r="Q27" s="53" t="n"/>
    </row>
    <row r="28" ht="21" customHeight="1" s="52">
      <c r="A28" s="53" t="n"/>
      <c r="B28" s="199" t="inlineStr">
        <is>
          <t>Snapshot Date</t>
        </is>
      </c>
      <c r="C28" s="199" t="inlineStr">
        <is>
          <t>Bank (₱)</t>
        </is>
      </c>
      <c r="D28" s="199" t="inlineStr">
        <is>
          <t>E-Wallet (₱)</t>
        </is>
      </c>
      <c r="E28" s="199" t="inlineStr">
        <is>
          <t>Cash / Other (₱)</t>
        </is>
      </c>
      <c r="F28" s="199" t="inlineStr">
        <is>
          <t>Total Money (₱)</t>
        </is>
      </c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21" customHeight="1" s="52">
      <c r="A29" s="53" t="n"/>
      <c r="B29" s="334">
        <f>'Balance History'!B6</f>
        <v/>
      </c>
      <c r="C29" s="335">
        <f>IF('Balance History'!C6="","","₱"&amp;TEXT('Balance History'!C6,"#,##0"))</f>
        <v/>
      </c>
      <c r="D29" s="335">
        <f>IF('Balance History'!D6="","","₱"&amp;TEXT('Balance History'!D6,"#,##0"))</f>
        <v/>
      </c>
      <c r="E29" s="335">
        <f>IF('Balance History'!E6="","","₱"&amp;TEXT('Balance History'!E6,"#,##0"))</f>
        <v/>
      </c>
      <c r="F29" s="335">
        <f>IF('Balance History'!F6="","","₱"&amp;TEXT('Balance History'!F6,"#,##0"))</f>
        <v/>
      </c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21" customHeight="1" s="52">
      <c r="A30" s="53" t="n"/>
      <c r="B30" s="334">
        <f>'Balance History'!B7</f>
        <v/>
      </c>
      <c r="C30" s="335">
        <f>IF('Balance History'!C7="","","₱"&amp;TEXT('Balance History'!C7,"#,##0"))</f>
        <v/>
      </c>
      <c r="D30" s="335">
        <f>IF('Balance History'!D7="","","₱"&amp;TEXT('Balance History'!D7,"#,##0"))</f>
        <v/>
      </c>
      <c r="E30" s="335">
        <f>IF('Balance History'!E7="","","₱"&amp;TEXT('Balance History'!E7,"#,##0"))</f>
        <v/>
      </c>
      <c r="F30" s="335">
        <f>IF('Balance History'!F7="","","₱"&amp;TEXT('Balance History'!F7,"#,##0"))</f>
        <v/>
      </c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21" customHeight="1" s="52">
      <c r="A31" s="53" t="n"/>
      <c r="B31" s="334">
        <f>'Balance History'!B8</f>
        <v/>
      </c>
      <c r="C31" s="335">
        <f>IF('Balance History'!C8="","","₱"&amp;TEXT('Balance History'!C8,"#,##0"))</f>
        <v/>
      </c>
      <c r="D31" s="335">
        <f>IF('Balance History'!D8="","","₱"&amp;TEXT('Balance History'!D8,"#,##0"))</f>
        <v/>
      </c>
      <c r="E31" s="335">
        <f>IF('Balance History'!E8="","","₱"&amp;TEXT('Balance History'!E8,"#,##0"))</f>
        <v/>
      </c>
      <c r="F31" s="335">
        <f>IF('Balance History'!F8="","","₱"&amp;TEXT('Balance History'!F8,"#,##0"))</f>
        <v/>
      </c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21" customHeight="1" s="52">
      <c r="A32" s="53" t="n"/>
      <c r="B32" s="334">
        <f>'Balance History'!B9</f>
        <v/>
      </c>
      <c r="C32" s="335">
        <f>IF('Balance History'!C9="","","₱"&amp;TEXT('Balance History'!C9,"#,##0"))</f>
        <v/>
      </c>
      <c r="D32" s="335">
        <f>IF('Balance History'!D9="","","₱"&amp;TEXT('Balance History'!D9,"#,##0"))</f>
        <v/>
      </c>
      <c r="E32" s="335">
        <f>IF('Balance History'!E9="","","₱"&amp;TEXT('Balance History'!E9,"#,##0"))</f>
        <v/>
      </c>
      <c r="F32" s="335">
        <f>IF('Balance History'!F9="","","₱"&amp;TEXT('Balance History'!F9,"#,##0"))</f>
        <v/>
      </c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21" customHeight="1" s="52">
      <c r="A33" s="53" t="n"/>
      <c r="B33" s="334">
        <f>'Balance History'!B10</f>
        <v/>
      </c>
      <c r="C33" s="335">
        <f>IF('Balance History'!C10="","","₱"&amp;TEXT('Balance History'!C10,"#,##0"))</f>
        <v/>
      </c>
      <c r="D33" s="335">
        <f>IF('Balance History'!D10="","","₱"&amp;TEXT('Balance History'!D10,"#,##0"))</f>
        <v/>
      </c>
      <c r="E33" s="335">
        <f>IF('Balance History'!E10="","","₱"&amp;TEXT('Balance History'!E10,"#,##0"))</f>
        <v/>
      </c>
      <c r="F33" s="335">
        <f>IF('Balance History'!F10="","","₱"&amp;TEXT('Balance History'!F10,"#,##0"))</f>
        <v/>
      </c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21" customHeight="1" s="52">
      <c r="A34" s="53" t="n"/>
      <c r="B34" s="334">
        <f>'Balance History'!B11</f>
        <v/>
      </c>
      <c r="C34" s="335">
        <f>IF('Balance History'!C11="","","₱"&amp;TEXT('Balance History'!C11,"#,##0"))</f>
        <v/>
      </c>
      <c r="D34" s="335">
        <f>IF('Balance History'!D11="","","₱"&amp;TEXT('Balance History'!D11,"#,##0"))</f>
        <v/>
      </c>
      <c r="E34" s="335">
        <f>IF('Balance History'!E11="","","₱"&amp;TEXT('Balance History'!E11,"#,##0"))</f>
        <v/>
      </c>
      <c r="F34" s="335">
        <f>IF('Balance History'!F11="","","₱"&amp;TEXT('Balance History'!F11,"#,##0"))</f>
        <v/>
      </c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21" customHeight="1" s="52">
      <c r="A35" s="53" t="n"/>
      <c r="B35" s="334">
        <f>'Balance History'!B12</f>
        <v/>
      </c>
      <c r="C35" s="335">
        <f>IF('Balance History'!C12="","","₱"&amp;TEXT('Balance History'!C12,"#,##0"))</f>
        <v/>
      </c>
      <c r="D35" s="335">
        <f>IF('Balance History'!D12="","","₱"&amp;TEXT('Balance History'!D12,"#,##0"))</f>
        <v/>
      </c>
      <c r="E35" s="335">
        <f>IF('Balance History'!E12="","","₱"&amp;TEXT('Balance History'!E12,"#,##0"))</f>
        <v/>
      </c>
      <c r="F35" s="335">
        <f>IF('Balance History'!F12="","","₱"&amp;TEXT('Balance History'!F12,"#,##0"))</f>
        <v/>
      </c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</row>
    <row r="36" ht="21" customHeight="1" s="52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</row>
    <row r="37" ht="21" customHeight="1" s="52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</row>
    <row r="38" ht="21" customHeight="1" s="52">
      <c r="A38" s="53" t="n"/>
      <c r="B38" s="227" t="inlineStr">
        <is>
          <t>HOW TO USE THIS TRACKER</t>
        </is>
      </c>
      <c r="C38" s="1" t="n"/>
      <c r="D38" s="1" t="n"/>
      <c r="E38" s="1" t="n"/>
      <c r="F38" s="1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</row>
    <row r="39" ht="21" customHeight="1" s="52">
      <c r="A39" s="53" t="n"/>
      <c r="B39" s="228" t="inlineStr">
        <is>
          <t>1. Enter recorded balances, interest rates, rate basis, and dates in Accounts.</t>
        </is>
      </c>
      <c r="C39" s="1" t="n"/>
      <c r="D39" s="1" t="n"/>
      <c r="E39" s="1" t="n"/>
      <c r="F39" s="1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</row>
    <row r="40" ht="21" customHeight="1" s="52">
      <c r="A40" s="53" t="n"/>
      <c r="B40" s="228" t="inlineStr">
        <is>
          <t>2. The Dashboard uses Calculated Balance Today, so estimated interest updates automatically.</t>
        </is>
      </c>
      <c r="C40" s="1" t="n"/>
      <c r="D40" s="1" t="n"/>
      <c r="E40" s="1" t="n"/>
      <c r="F40" s="1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</row>
    <row r="41" ht="21" customHeight="1" s="52">
      <c r="A41" s="53" t="n"/>
      <c r="B41" s="228" t="inlineStr">
        <is>
          <t>3. Add a snapshot in Balance History whenever you want to preserve your progress.</t>
        </is>
      </c>
      <c r="C41" s="1" t="n"/>
      <c r="D41" s="1" t="n"/>
      <c r="E41" s="1" t="n"/>
      <c r="F41" s="1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</row>
    <row r="42" ht="21" customHeight="1" s="52">
      <c r="A42" s="53" t="n"/>
      <c r="B42" s="64" t="inlineStr">
        <is>
          <t>4. Use Include in Total = No for accounts you do not want counted.</t>
        </is>
      </c>
      <c r="C42" s="1" t="n"/>
      <c r="D42" s="1" t="n"/>
      <c r="E42" s="1" t="n"/>
      <c r="F42" s="1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</row>
    <row r="43" ht="21" customHeight="1" s="52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</row>
    <row r="44" ht="21" customHeight="1" s="52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</row>
    <row r="45" ht="21" customHeight="1" s="52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</row>
  </sheetData>
  <mergeCells count="21">
    <mergeCell ref="E6:G8"/>
    <mergeCell ref="E9:G9"/>
    <mergeCell ref="H6:J8"/>
    <mergeCell ref="B39:F39"/>
    <mergeCell ref="B6:D8"/>
    <mergeCell ref="B42:F42"/>
    <mergeCell ref="B9:D9"/>
    <mergeCell ref="B3:N3"/>
    <mergeCell ref="B1:N2"/>
    <mergeCell ref="B5:D5"/>
    <mergeCell ref="B38:F38"/>
    <mergeCell ref="B27:N27"/>
    <mergeCell ref="H5:J5"/>
    <mergeCell ref="K6:M8"/>
    <mergeCell ref="B11:H11"/>
    <mergeCell ref="B40:F40"/>
    <mergeCell ref="K9:M9"/>
    <mergeCell ref="E5:G5"/>
    <mergeCell ref="K5:M5"/>
    <mergeCell ref="H9:J9"/>
    <mergeCell ref="B41:F41"/>
  </mergeCells>
  <conditionalFormatting sqref="B13:G24">
    <cfRule type="expression" priority="2" dxfId="6">
      <formula>AND($B13&lt;&gt;"",$G13&lt;TODAY()-30)</formula>
    </cfRule>
  </conditionalFormatting>
  <conditionalFormatting sqref="F13:F24">
    <cfRule type="dataBar" priority="3">
      <dataBar>
        <cfvo type="min"/>
        <cfvo type="max"/>
        <color rgb="FF8B5CF6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3" customWidth="1" style="52" min="1" max="1"/>
    <col width="22" customWidth="1" style="52" min="2" max="2"/>
    <col width="15" customWidth="1" style="52" min="3" max="3"/>
    <col width="16" customWidth="1" style="52" min="4" max="4"/>
    <col width="18" customWidth="1" style="52" min="5" max="5"/>
    <col width="12" customWidth="1" style="52" min="6" max="6"/>
    <col width="13" customWidth="1" style="52" min="7" max="7"/>
    <col width="18" customWidth="1" style="52" min="8" max="8"/>
    <col width="18" customWidth="1" style="52" min="9" max="9"/>
    <col width="17" customWidth="1" style="52" min="10" max="10"/>
    <col width="20" customWidth="1" style="52" min="11" max="11"/>
    <col width="15" customWidth="1" style="52" min="12" max="12"/>
    <col width="15" customWidth="1" style="52" min="13" max="13"/>
    <col width="28" customWidth="1" style="52" min="14" max="14"/>
  </cols>
  <sheetData>
    <row r="1" ht="24" customHeight="1" s="52">
      <c r="A1" s="53" t="n"/>
      <c r="B1" s="340" t="inlineStr">
        <is>
          <t>ACCOUNT BALANCES + INTEREST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 s="52">
      <c r="A2" s="53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2">
      <c r="A3" s="53" t="n"/>
      <c r="B3" s="341" t="inlineStr">
        <is>
          <t>Enter the recorded balance, interest rate, rate basis, and last-updated date. Calculated columns estimate your current savings automatically.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21" customHeight="1" s="52">
      <c r="A4" s="53" t="n"/>
      <c r="B4" s="53" t="n"/>
      <c r="C4" s="53" t="n"/>
      <c r="D4" s="53" t="n"/>
      <c r="E4" s="53" t="n"/>
      <c r="F4" s="53" t="n"/>
      <c r="G4" s="53" t="n"/>
      <c r="H4" s="53" t="n"/>
      <c r="N4" s="342" t="inlineStr">
        <is>
          <t>Status</t>
        </is>
      </c>
    </row>
    <row r="5" ht="42" customHeight="1" s="52">
      <c r="A5" s="53" t="n"/>
      <c r="B5" s="259" t="inlineStr">
        <is>
          <t>Account Name</t>
        </is>
      </c>
      <c r="C5" s="259" t="inlineStr">
        <is>
          <t>Account Type</t>
        </is>
      </c>
      <c r="D5" s="259" t="inlineStr">
        <is>
          <t>Institution</t>
        </is>
      </c>
      <c r="E5" s="259" t="inlineStr">
        <is>
          <t>Recorded Balance (₱)</t>
        </is>
      </c>
      <c r="F5" s="259" t="inlineStr">
        <is>
          <t>Interest Rate</t>
        </is>
      </c>
      <c r="G5" s="259" t="inlineStr">
        <is>
          <t>Rate Basis</t>
        </is>
      </c>
      <c r="H5" s="259" t="inlineStr">
        <is>
          <t>Est. Monthly Interest (₱)</t>
        </is>
      </c>
      <c r="I5" s="264" t="inlineStr">
        <is>
          <t>Est. Annual Interest (₱)</t>
        </is>
      </c>
      <c r="J5" s="264" t="inlineStr">
        <is>
          <t>Accrued Interest (₱)</t>
        </is>
      </c>
      <c r="K5" s="264" t="inlineStr">
        <is>
          <t>Calculated Balance Today (₱)</t>
        </is>
      </c>
      <c r="L5" s="264" t="inlineStr">
        <is>
          <t>Last Updated</t>
        </is>
      </c>
      <c r="M5" s="264" t="inlineStr">
        <is>
          <t>Include in Total</t>
        </is>
      </c>
      <c r="N5" s="264" t="inlineStr">
        <is>
          <t>Notes</t>
        </is>
      </c>
    </row>
    <row r="6" ht="24" customHeight="1" s="52">
      <c r="A6" s="53" t="n"/>
      <c r="B6" s="265" t="inlineStr">
        <is>
          <t>BPI Checking</t>
        </is>
      </c>
      <c r="C6" s="265" t="inlineStr">
        <is>
          <t>Bank</t>
        </is>
      </c>
      <c r="D6" s="265" t="inlineStr">
        <is>
          <t>BPI</t>
        </is>
      </c>
      <c r="E6" s="343" t="n">
        <v>45000</v>
      </c>
      <c r="F6" s="344" t="n">
        <v>0</v>
      </c>
      <c r="G6" s="268" t="inlineStr">
        <is>
          <t>Annual</t>
        </is>
      </c>
      <c r="H6" s="345">
        <f>IF(B6="","",IF(OR(E6="",F6="",G6=""),0,IF(G6="Annual",E6*((1+F6)^(1/12)-1),IF(G6="Monthly",E6*F6,0))))</f>
        <v/>
      </c>
      <c r="I6" s="346">
        <f>IF(B6="","",IF(OR(E6="",F6="",G6=""),0,IF(G6="Annual",E6*F6,IF(G6="Monthly",E6*((1+F6)^12-1),0))))</f>
        <v/>
      </c>
      <c r="J6" s="346">
        <f>IF(B6="","",IF(OR(E6="",F6="",G6="",L6=""),0,IF(TODAY()&lt;=L6,0,IF(G6="Annual",E6*((1+F6)^((TODAY()-L6)/365)-1),IF(G6="Monthly",E6*((1+F6)^((TODAY()-L6)/(365/12))-1),0)))))</f>
        <v/>
      </c>
      <c r="K6" s="347">
        <f>IF(B6="","",IFERROR(E6+J6,E6))</f>
        <v/>
      </c>
      <c r="L6" s="348" t="n">
        <v>46223</v>
      </c>
      <c r="M6" s="280" t="inlineStr">
        <is>
          <t>Yes</t>
        </is>
      </c>
      <c r="N6" s="349">
        <f>IF(B6="","",IF(OR(L6="",L6=""),"-",IF((TODAY()-L6)&gt;30,"⚠️ Stale","✅ Current")))</f>
        <v/>
      </c>
    </row>
    <row r="7" ht="24" customHeight="1" s="52">
      <c r="A7" s="53" t="n"/>
      <c r="B7" s="265" t="inlineStr">
        <is>
          <t>BDO Savings</t>
        </is>
      </c>
      <c r="C7" s="265" t="inlineStr">
        <is>
          <t>Bank</t>
        </is>
      </c>
      <c r="D7" s="265" t="inlineStr">
        <is>
          <t>BDO</t>
        </is>
      </c>
      <c r="E7" s="343" t="n">
        <v>120000</v>
      </c>
      <c r="F7" s="344" t="n">
        <v>0</v>
      </c>
      <c r="G7" s="268" t="inlineStr">
        <is>
          <t>Annual</t>
        </is>
      </c>
      <c r="H7" s="345">
        <f>IF(B7="","",IF(OR(E7="",F7="",G7=""),0,IF(G7="Annual",E7*((1+F7)^(1/12)-1),IF(G7="Monthly",E7*F7,0))))</f>
        <v/>
      </c>
      <c r="I7" s="346">
        <f>IF(B7="","",IF(OR(E7="",F7="",G7=""),0,IF(G7="Annual",E7*F7,IF(G7="Monthly",E7*((1+F7)^12-1),0))))</f>
        <v/>
      </c>
      <c r="J7" s="346">
        <f>IF(B7="","",IF(OR(E7="",F7="",G7="",L7=""),0,IF(TODAY()&lt;=L7,0,IF(G7="Annual",E7*((1+F7)^((TODAY()-L7)/365)-1),IF(G7="Monthly",E7*((1+F7)^((TODAY()-L7)/(365/12))-1),0)))))</f>
        <v/>
      </c>
      <c r="K7" s="347">
        <f>IF(B7="","",IFERROR(E7+J7,E7))</f>
        <v/>
      </c>
      <c r="L7" s="348" t="n">
        <v>46223</v>
      </c>
      <c r="M7" s="280" t="inlineStr">
        <is>
          <t>Yes</t>
        </is>
      </c>
      <c r="N7" s="349">
        <f>IF(B7="","",IF(OR(L7="",L7=""),"-",IF((TODAY()-L7)&gt;30,"⚠️ Stale","✅ Current")))</f>
        <v/>
      </c>
    </row>
    <row r="8" ht="24" customHeight="1" s="52">
      <c r="A8" s="53" t="n"/>
      <c r="B8" s="265" t="inlineStr">
        <is>
          <t>GCash</t>
        </is>
      </c>
      <c r="C8" s="265" t="inlineStr">
        <is>
          <t>E-Wallet</t>
        </is>
      </c>
      <c r="D8" s="265" t="inlineStr">
        <is>
          <t>GCash</t>
        </is>
      </c>
      <c r="E8" s="343" t="n">
        <v>6500</v>
      </c>
      <c r="F8" s="344" t="n">
        <v>0</v>
      </c>
      <c r="G8" s="268" t="inlineStr">
        <is>
          <t>Annual</t>
        </is>
      </c>
      <c r="H8" s="345">
        <f>IF(B8="","",IF(OR(E8="",F8="",G8=""),0,IF(G8="Annual",E8*((1+F8)^(1/12)-1),IF(G8="Monthly",E8*F8,0))))</f>
        <v/>
      </c>
      <c r="I8" s="346">
        <f>IF(B8="","",IF(OR(E8="",F8="",G8=""),0,IF(G8="Annual",E8*F8,IF(G8="Monthly",E8*((1+F8)^12-1),0))))</f>
        <v/>
      </c>
      <c r="J8" s="346">
        <f>IF(B8="","",IF(OR(E8="",F8="",G8="",L8=""),0,IF(TODAY()&lt;=L8,0,IF(G8="Annual",E8*((1+F8)^((TODAY()-L8)/365)-1),IF(G8="Monthly",E8*((1+F8)^((TODAY()-L8)/(365/12))-1),0)))))</f>
        <v/>
      </c>
      <c r="K8" s="347">
        <f>IF(B8="","",IFERROR(E8+J8,E8))</f>
        <v/>
      </c>
      <c r="L8" s="348" t="n">
        <v>46223</v>
      </c>
      <c r="M8" s="280" t="inlineStr">
        <is>
          <t>Yes</t>
        </is>
      </c>
      <c r="N8" s="349">
        <f>IF(B8="","",IF(OR(L8="",L8=""),"-",IF((TODAY()-L8)&gt;30,"⚠️ Stale","✅ Current")))</f>
        <v/>
      </c>
    </row>
    <row r="9" ht="24" customHeight="1" s="52">
      <c r="A9" s="53" t="n"/>
      <c r="B9" s="265" t="inlineStr">
        <is>
          <t>Maya</t>
        </is>
      </c>
      <c r="C9" s="265" t="inlineStr">
        <is>
          <t>E-Wallet</t>
        </is>
      </c>
      <c r="D9" s="265" t="inlineStr">
        <is>
          <t>Maya</t>
        </is>
      </c>
      <c r="E9" s="343" t="n">
        <v>8000</v>
      </c>
      <c r="F9" s="344" t="n">
        <v>0</v>
      </c>
      <c r="G9" s="268" t="inlineStr">
        <is>
          <t>Annual</t>
        </is>
      </c>
      <c r="H9" s="345">
        <f>IF(B9="","",IF(OR(E9="",F9="",G9=""),0,IF(G9="Annual",E9*((1+F9)^(1/12)-1),IF(G9="Monthly",E9*F9,0))))</f>
        <v/>
      </c>
      <c r="I9" s="346">
        <f>IF(B9="","",IF(OR(E9="",F9="",G9=""),0,IF(G9="Annual",E9*F9,IF(G9="Monthly",E9*((1+F9)^12-1),0))))</f>
        <v/>
      </c>
      <c r="J9" s="346">
        <f>IF(B9="","",IF(OR(E9="",F9="",G9="",L9=""),0,IF(TODAY()&lt;=L9,0,IF(G9="Annual",E9*((1+F9)^((TODAY()-L9)/365)-1),IF(G9="Monthly",E9*((1+F9)^((TODAY()-L9)/(365/12))-1),0)))))</f>
        <v/>
      </c>
      <c r="K9" s="347">
        <f>IF(B9="","",IFERROR(E9+J9,E9))</f>
        <v/>
      </c>
      <c r="L9" s="348" t="n">
        <v>46223</v>
      </c>
      <c r="M9" s="280" t="inlineStr">
        <is>
          <t>Yes</t>
        </is>
      </c>
      <c r="N9" s="349">
        <f>IF(B9="","",IF(OR(L9="",L9=""),"-",IF((TODAY()-L9)&gt;30,"⚠️ Stale","✅ Current")))</f>
        <v/>
      </c>
    </row>
    <row r="10" ht="24" customHeight="1" s="52">
      <c r="A10" s="53" t="n"/>
      <c r="B10" s="265" t="inlineStr">
        <is>
          <t>Cash on Hand</t>
        </is>
      </c>
      <c r="C10" s="265" t="inlineStr">
        <is>
          <t>Cash / Other</t>
        </is>
      </c>
      <c r="D10" s="265" t="inlineStr">
        <is>
          <t>Cash</t>
        </is>
      </c>
      <c r="E10" s="343" t="n">
        <v>3500</v>
      </c>
      <c r="F10" s="344" t="n">
        <v>0</v>
      </c>
      <c r="G10" s="268" t="inlineStr">
        <is>
          <t>Annual</t>
        </is>
      </c>
      <c r="H10" s="345">
        <f>IF(B10="","",IF(OR(E10="",F10="",G10=""),0,IF(G10="Annual",E10*((1+F10)^(1/12)-1),IF(G10="Monthly",E10*F10,0))))</f>
        <v/>
      </c>
      <c r="I10" s="346">
        <f>IF(B10="","",IF(OR(E10="",F10="",G10=""),0,IF(G10="Annual",E10*F10,IF(G10="Monthly",E10*((1+F10)^12-1),0))))</f>
        <v/>
      </c>
      <c r="J10" s="346">
        <f>IF(B10="","",IF(OR(E10="",F10="",G10="",L10=""),0,IF(TODAY()&lt;=L10,0,IF(G10="Annual",E10*((1+F10)^((TODAY()-L10)/365)-1),IF(G10="Monthly",E10*((1+F10)^((TODAY()-L10)/(365/12))-1),0)))))</f>
        <v/>
      </c>
      <c r="K10" s="347">
        <f>IF(B10="","",IFERROR(E10+J10,E10))</f>
        <v/>
      </c>
      <c r="L10" s="348" t="n">
        <v>46223</v>
      </c>
      <c r="M10" s="280" t="inlineStr">
        <is>
          <t>Yes</t>
        </is>
      </c>
      <c r="N10" s="349">
        <f>IF(B10="","",IF(OR(L10="",L10=""),"-",IF((TODAY()-L10)&gt;30,"⚠️ Stale","✅ Current")))</f>
        <v/>
      </c>
    </row>
    <row r="11" ht="24" customHeight="1" s="52">
      <c r="A11" s="53" t="n"/>
      <c r="B11" s="265" t="n"/>
      <c r="C11" s="265" t="n"/>
      <c r="D11" s="265" t="n"/>
      <c r="E11" s="343" t="n"/>
      <c r="F11" s="344" t="n"/>
      <c r="G11" s="268" t="n"/>
      <c r="H11" s="345">
        <f>IF(B11="","",IF(OR(E11="",F11="",G11=""),0,IF(G11="Annual",E11*((1+F11)^(1/12)-1),IF(G11="Monthly",E11*F11,0))))</f>
        <v/>
      </c>
      <c r="I11" s="346">
        <f>IF(B11="","",IF(OR(E11="",F11="",G11=""),0,IF(G11="Annual",E11*F11,IF(G11="Monthly",E11*((1+F11)^12-1),0))))</f>
        <v/>
      </c>
      <c r="J11" s="346">
        <f>IF(B11="","",IF(OR(E11="",F11="",G11="",L11=""),0,IF(TODAY()&lt;=L11,0,IF(G11="Annual",E11*((1+F11)^((TODAY()-L11)/365)-1),IF(G11="Monthly",E11*((1+F11)^((TODAY()-L11)/(365/12))-1),0)))))</f>
        <v/>
      </c>
      <c r="K11" s="347">
        <f>IF(B11="","",IFERROR(E11+J11,E11))</f>
        <v/>
      </c>
      <c r="L11" s="348" t="n"/>
      <c r="M11" s="280" t="n"/>
      <c r="N11" s="349">
        <f>IF(B11="","",IF(OR(L11="",L11=""),"-",IF((TODAY()-L11)&gt;30,"⚠️ Stale","✅ Current")))</f>
        <v/>
      </c>
    </row>
    <row r="12" ht="24" customHeight="1" s="52">
      <c r="A12" s="53" t="n"/>
      <c r="B12" s="265" t="n"/>
      <c r="C12" s="265" t="n"/>
      <c r="D12" s="265" t="n"/>
      <c r="E12" s="343" t="n"/>
      <c r="F12" s="344" t="n"/>
      <c r="G12" s="268" t="n"/>
      <c r="H12" s="345">
        <f>IF(B12="","",IF(OR(E12="",F12="",G12=""),0,IF(G12="Annual",E12*((1+F12)^(1/12)-1),IF(G12="Monthly",E12*F12,0))))</f>
        <v/>
      </c>
      <c r="I12" s="346">
        <f>IF(B12="","",IF(OR(E12="",F12="",G12=""),0,IF(G12="Annual",E12*F12,IF(G12="Monthly",E12*((1+F12)^12-1),0))))</f>
        <v/>
      </c>
      <c r="J12" s="346">
        <f>IF(B12="","",IF(OR(E12="",F12="",G12="",L12=""),0,IF(TODAY()&lt;=L12,0,IF(G12="Annual",E12*((1+F12)^((TODAY()-L12)/365)-1),IF(G12="Monthly",E12*((1+F12)^((TODAY()-L12)/(365/12))-1),0)))))</f>
        <v/>
      </c>
      <c r="K12" s="347">
        <f>IF(B12="","",IFERROR(E12+J12,E12))</f>
        <v/>
      </c>
      <c r="L12" s="348" t="n"/>
      <c r="M12" s="280" t="n"/>
      <c r="N12" s="349">
        <f>IF(B12="","",IF(OR(L12="",L12=""),"-",IF((TODAY()-L12)&gt;30,"⚠️ Stale","✅ Current")))</f>
        <v/>
      </c>
    </row>
    <row r="13" ht="24" customHeight="1" s="52">
      <c r="A13" s="53" t="n"/>
      <c r="B13" s="265" t="n"/>
      <c r="C13" s="265" t="n"/>
      <c r="D13" s="265" t="n"/>
      <c r="E13" s="343" t="n"/>
      <c r="F13" s="344" t="n"/>
      <c r="G13" s="268" t="n"/>
      <c r="H13" s="345">
        <f>IF(B13="","",IF(OR(E13="",F13="",G13=""),0,IF(G13="Annual",E13*((1+F13)^(1/12)-1),IF(G13="Monthly",E13*F13,0))))</f>
        <v/>
      </c>
      <c r="I13" s="346">
        <f>IF(B13="","",IF(OR(E13="",F13="",G13=""),0,IF(G13="Annual",E13*F13,IF(G13="Monthly",E13*((1+F13)^12-1),0))))</f>
        <v/>
      </c>
      <c r="J13" s="346">
        <f>IF(B13="","",IF(OR(E13="",F13="",G13="",L13=""),0,IF(TODAY()&lt;=L13,0,IF(G13="Annual",E13*((1+F13)^((TODAY()-L13)/365)-1),IF(G13="Monthly",E13*((1+F13)^((TODAY()-L13)/(365/12))-1),0)))))</f>
        <v/>
      </c>
      <c r="K13" s="347">
        <f>IF(B13="","",IFERROR(E13+J13,E13))</f>
        <v/>
      </c>
      <c r="L13" s="348" t="n"/>
      <c r="M13" s="280" t="n"/>
      <c r="N13" s="349">
        <f>IF(B13="","",IF(OR(L13="",L13=""),"-",IF((TODAY()-L13)&gt;30,"⚠️ Stale","✅ Current")))</f>
        <v/>
      </c>
    </row>
    <row r="14" ht="24" customHeight="1" s="52">
      <c r="A14" s="53" t="n"/>
      <c r="B14" s="265" t="n"/>
      <c r="C14" s="265" t="n"/>
      <c r="D14" s="265" t="n"/>
      <c r="E14" s="343" t="n"/>
      <c r="F14" s="344" t="n"/>
      <c r="G14" s="268" t="n"/>
      <c r="H14" s="345">
        <f>IF(B14="","",IF(OR(E14="",F14="",G14=""),0,IF(G14="Annual",E14*((1+F14)^(1/12)-1),IF(G14="Monthly",E14*F14,0))))</f>
        <v/>
      </c>
      <c r="I14" s="346">
        <f>IF(B14="","",IF(OR(E14="",F14="",G14=""),0,IF(G14="Annual",E14*F14,IF(G14="Monthly",E14*((1+F14)^12-1),0))))</f>
        <v/>
      </c>
      <c r="J14" s="346">
        <f>IF(B14="","",IF(OR(E14="",F14="",G14="",L14=""),0,IF(TODAY()&lt;=L14,0,IF(G14="Annual",E14*((1+F14)^((TODAY()-L14)/365)-1),IF(G14="Monthly",E14*((1+F14)^((TODAY()-L14)/(365/12))-1),0)))))</f>
        <v/>
      </c>
      <c r="K14" s="347">
        <f>IF(B14="","",IFERROR(E14+J14,E14))</f>
        <v/>
      </c>
      <c r="L14" s="348" t="n"/>
      <c r="M14" s="280" t="n"/>
      <c r="N14" s="349">
        <f>IF(B14="","",IF(OR(L14="",L14=""),"-",IF((TODAY()-L14)&gt;30,"⚠️ Stale","✅ Current")))</f>
        <v/>
      </c>
    </row>
    <row r="15" ht="24" customHeight="1" s="52">
      <c r="A15" s="53" t="n"/>
      <c r="B15" s="265" t="n"/>
      <c r="C15" s="265" t="n"/>
      <c r="D15" s="265" t="n"/>
      <c r="E15" s="343" t="n"/>
      <c r="F15" s="344" t="n"/>
      <c r="G15" s="268" t="n"/>
      <c r="H15" s="345">
        <f>IF(B15="","",IF(OR(E15="",F15="",G15=""),0,IF(G15="Annual",E15*((1+F15)^(1/12)-1),IF(G15="Monthly",E15*F15,0))))</f>
        <v/>
      </c>
      <c r="I15" s="346">
        <f>IF(B15="","",IF(OR(E15="",F15="",G15=""),0,IF(G15="Annual",E15*F15,IF(G15="Monthly",E15*((1+F15)^12-1),0))))</f>
        <v/>
      </c>
      <c r="J15" s="346">
        <f>IF(B15="","",IF(OR(E15="",F15="",G15="",L15=""),0,IF(TODAY()&lt;=L15,0,IF(G15="Annual",E15*((1+F15)^((TODAY()-L15)/365)-1),IF(G15="Monthly",E15*((1+F15)^((TODAY()-L15)/(365/12))-1),0)))))</f>
        <v/>
      </c>
      <c r="K15" s="347">
        <f>IF(B15="","",IFERROR(E15+J15,E15))</f>
        <v/>
      </c>
      <c r="L15" s="348" t="n"/>
      <c r="M15" s="280" t="n"/>
      <c r="N15" s="349">
        <f>IF(B15="","",IF(OR(L15="",L15=""),"-",IF((TODAY()-L15)&gt;30,"⚠️ Stale","✅ Current")))</f>
        <v/>
      </c>
    </row>
    <row r="16" ht="24" customHeight="1" s="52">
      <c r="A16" s="53" t="n"/>
      <c r="B16" s="265" t="n"/>
      <c r="C16" s="265" t="n"/>
      <c r="D16" s="265" t="n"/>
      <c r="E16" s="343" t="n"/>
      <c r="F16" s="344" t="n"/>
      <c r="G16" s="268" t="n"/>
      <c r="H16" s="345">
        <f>IF(B16="","",IF(OR(E16="",F16="",G16=""),0,IF(G16="Annual",E16*((1+F16)^(1/12)-1),IF(G16="Monthly",E16*F16,0))))</f>
        <v/>
      </c>
      <c r="I16" s="346">
        <f>IF(B16="","",IF(OR(E16="",F16="",G16=""),0,IF(G16="Annual",E16*F16,IF(G16="Monthly",E16*((1+F16)^12-1),0))))</f>
        <v/>
      </c>
      <c r="J16" s="346">
        <f>IF(B16="","",IF(OR(E16="",F16="",G16="",L16=""),0,IF(TODAY()&lt;=L16,0,IF(G16="Annual",E16*((1+F16)^((TODAY()-L16)/365)-1),IF(G16="Monthly",E16*((1+F16)^((TODAY()-L16)/(365/12))-1),0)))))</f>
        <v/>
      </c>
      <c r="K16" s="347">
        <f>IF(B16="","",IFERROR(E16+J16,E16))</f>
        <v/>
      </c>
      <c r="L16" s="348" t="n"/>
      <c r="M16" s="280" t="n"/>
      <c r="N16" s="349">
        <f>IF(B16="","",IF(OR(L16="",L16=""),"-",IF((TODAY()-L16)&gt;30,"⚠️ Stale","✅ Current")))</f>
        <v/>
      </c>
    </row>
    <row r="17" ht="24" customHeight="1" s="52">
      <c r="A17" s="53" t="n"/>
      <c r="B17" s="265" t="n"/>
      <c r="C17" s="265" t="n"/>
      <c r="D17" s="265" t="n"/>
      <c r="E17" s="343" t="n"/>
      <c r="F17" s="344" t="n"/>
      <c r="G17" s="268" t="n"/>
      <c r="H17" s="345">
        <f>IF(B17="","",IF(OR(E17="",F17="",G17=""),0,IF(G17="Annual",E17*((1+F17)^(1/12)-1),IF(G17="Monthly",E17*F17,0))))</f>
        <v/>
      </c>
      <c r="I17" s="346">
        <f>IF(B17="","",IF(OR(E17="",F17="",G17=""),0,IF(G17="Annual",E17*F17,IF(G17="Monthly",E17*((1+F17)^12-1),0))))</f>
        <v/>
      </c>
      <c r="J17" s="346">
        <f>IF(B17="","",IF(OR(E17="",F17="",G17="",L17=""),0,IF(TODAY()&lt;=L17,0,IF(G17="Annual",E17*((1+F17)^((TODAY()-L17)/365)-1),IF(G17="Monthly",E17*((1+F17)^((TODAY()-L17)/(365/12))-1),0)))))</f>
        <v/>
      </c>
      <c r="K17" s="347">
        <f>IF(B17="","",IFERROR(E17+J17,E17))</f>
        <v/>
      </c>
      <c r="L17" s="348" t="n"/>
      <c r="M17" s="280" t="n"/>
      <c r="N17" s="349">
        <f>IF(B17="","",IF(OR(L17="",L17=""),"-",IF((TODAY()-L17)&gt;30,"⚠️ Stale","✅ Current")))</f>
        <v/>
      </c>
    </row>
    <row r="18" ht="21" customHeight="1" s="52">
      <c r="A18" s="53" t="n"/>
      <c r="B18" s="53" t="n"/>
      <c r="C18" s="53" t="n"/>
      <c r="D18" s="53" t="n"/>
      <c r="E18" s="53" t="n"/>
      <c r="F18" s="53" t="n"/>
      <c r="G18" s="53" t="n"/>
      <c r="H18" s="53" t="n"/>
    </row>
    <row r="19" ht="21" customHeight="1" s="52">
      <c r="A19" s="53" t="n"/>
      <c r="B19" s="53" t="n"/>
      <c r="C19" s="53" t="n"/>
      <c r="D19" s="53" t="n"/>
      <c r="E19" s="53" t="n"/>
      <c r="F19" s="53" t="n"/>
      <c r="G19" s="53" t="n"/>
      <c r="H19" s="53" t="n"/>
    </row>
    <row r="20" ht="22" customHeight="1" s="52">
      <c r="A20" s="53" t="n"/>
      <c r="B20" s="350" t="inlineStr">
        <is>
          <t>📊 SUMMARY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 ht="21" customHeight="1" s="52">
      <c r="A21" s="53" t="n"/>
      <c r="B21" s="290" t="inlineStr">
        <is>
          <t>Metric</t>
        </is>
      </c>
      <c r="C21" s="290" t="inlineStr">
        <is>
          <t>Value</t>
        </is>
      </c>
      <c r="D21" s="53" t="n"/>
      <c r="E21" s="53" t="n"/>
      <c r="F21" s="53" t="n"/>
      <c r="G21" s="53" t="n"/>
      <c r="H21" s="53" t="n"/>
    </row>
    <row r="22" ht="21" customHeight="1" s="52">
      <c r="A22" s="53" t="n"/>
      <c r="B22" s="291" t="inlineStr">
        <is>
          <t>Recorded Balance Included</t>
        </is>
      </c>
      <c r="C22" s="351">
        <f>SUMIF($M$6:$M$17,"Yes",$E$6:$E$17)</f>
        <v/>
      </c>
      <c r="D22" s="53" t="n"/>
      <c r="E22" s="53" t="n"/>
      <c r="F22" s="53" t="n"/>
      <c r="G22" s="53" t="n"/>
      <c r="H22" s="53" t="n"/>
    </row>
    <row r="23" ht="21" customHeight="1" s="52">
      <c r="A23" s="53" t="n"/>
      <c r="B23" s="291" t="inlineStr">
        <is>
          <t>Accrued Interest</t>
        </is>
      </c>
      <c r="C23" s="351">
        <f>SUMIF($M$6:$M$17,"Yes",$J$6:$J$17)</f>
        <v/>
      </c>
      <c r="D23" s="53" t="n"/>
      <c r="E23" s="53" t="n"/>
      <c r="F23" s="53" t="n"/>
      <c r="G23" s="53" t="n"/>
      <c r="H23" s="53" t="n"/>
    </row>
    <row r="24" ht="21" customHeight="1" s="52">
      <c r="A24" s="53" t="n"/>
      <c r="B24" s="291" t="inlineStr">
        <is>
          <t>Calculated Total</t>
        </is>
      </c>
      <c r="C24" s="351">
        <f>SUMIF($M$6:$M$17,"Yes",$K$6:$K$17)</f>
        <v/>
      </c>
      <c r="D24" s="53" t="n"/>
      <c r="E24" s="53" t="n"/>
      <c r="F24" s="53" t="n"/>
      <c r="G24" s="53" t="n"/>
      <c r="H24" s="53" t="n"/>
    </row>
    <row r="25" ht="21" customHeight="1" s="52">
      <c r="A25" s="53" t="n"/>
      <c r="B25" s="291" t="inlineStr">
        <is>
          <t>Estimated Monthly Interest</t>
        </is>
      </c>
      <c r="C25" s="351">
        <f>SUMIF($M$6:$M$17,"Yes",$H$6:$H$17)</f>
        <v/>
      </c>
      <c r="D25" s="53" t="n"/>
      <c r="E25" s="53" t="n"/>
      <c r="F25" s="53" t="n"/>
      <c r="G25" s="53" t="n"/>
      <c r="H25" s="53" t="n"/>
    </row>
    <row r="26" ht="21" customHeight="1" s="52">
      <c r="A26" s="53" t="n"/>
      <c r="B26" s="291" t="inlineStr">
        <is>
          <t>Estimated Annual Interest</t>
        </is>
      </c>
      <c r="C26" s="351">
        <f>SUMIF($M$6:$M$17,"Yes",$I$6:$I$17)</f>
        <v/>
      </c>
      <c r="D26" s="53" t="n"/>
      <c r="E26" s="53" t="n"/>
      <c r="F26" s="53" t="n"/>
      <c r="G26" s="53" t="n"/>
      <c r="H26" s="53" t="n"/>
    </row>
    <row r="27" ht="21" customHeight="1" s="52">
      <c r="A27" s="53" t="n"/>
      <c r="B27" s="291" t="inlineStr">
        <is>
          <t>Bank Total</t>
        </is>
      </c>
      <c r="C27" s="351">
        <f>SUMIFS($K$6:$K$17,$M$6:$M$17,"Yes",$C$6:$C$17,"Bank")</f>
        <v/>
      </c>
      <c r="D27" s="53" t="n"/>
      <c r="E27" s="53" t="n"/>
      <c r="F27" s="53" t="n"/>
      <c r="G27" s="53" t="n"/>
      <c r="H27" s="53" t="n"/>
    </row>
    <row r="28" ht="21" customHeight="1" s="52">
      <c r="A28" s="53" t="n"/>
      <c r="B28" s="291" t="inlineStr">
        <is>
          <t>E-Wallet Total</t>
        </is>
      </c>
      <c r="C28" s="351">
        <f>SUMIFS($K$6:$K$17,$M$6:$M$17,"Yes",$C$6:$C$17,"E-Wallet")</f>
        <v/>
      </c>
      <c r="D28" s="53" t="n"/>
      <c r="E28" s="53" t="n"/>
      <c r="F28" s="53" t="n"/>
      <c r="G28" s="53" t="n"/>
      <c r="H28" s="53" t="n"/>
    </row>
    <row r="29" ht="21" customHeight="1" s="52">
      <c r="A29" s="53" t="n"/>
      <c r="B29" s="291" t="inlineStr">
        <is>
          <t>Cash / Other</t>
        </is>
      </c>
      <c r="C29" s="351">
        <f>SUMIFS($K$6:$K$17,$M$6:$M$17,"Yes",$C$6:$C$17,"Cash / Other")</f>
        <v/>
      </c>
      <c r="D29" s="53" t="n"/>
      <c r="E29" s="53" t="n"/>
      <c r="F29" s="53" t="n"/>
      <c r="G29" s="53" t="n"/>
      <c r="H29" s="53" t="n"/>
    </row>
    <row r="30" ht="21" customHeight="1" s="52">
      <c r="A30" s="53" t="n"/>
      <c r="B30" s="352" t="inlineStr">
        <is>
          <t>Active Accounts</t>
        </is>
      </c>
      <c r="C30" s="349">
        <f>COUNTIF($M$6:$M$17,"Yes")</f>
        <v/>
      </c>
      <c r="D30" s="53" t="n"/>
      <c r="E30" s="53" t="n"/>
      <c r="F30" s="53" t="n"/>
      <c r="G30" s="53" t="n"/>
      <c r="H30" s="53" t="n"/>
    </row>
    <row r="31">
      <c r="B31" s="352" t="inlineStr">
        <is>
          <t>Avg Interest Rate (Annual)</t>
        </is>
      </c>
      <c r="C31" s="353">
        <f>IFERROR(AVERAGEIFS($I$6:$I$17,$M$6:$M$17,"Yes",$I$6:$I$17,"&gt;0")/AVERAGEIFS($E$6:$E$17,$M$6:$M$17,"Yes",$E$6:$E$17,"&gt;0"),0)</f>
        <v/>
      </c>
    </row>
    <row r="32">
      <c r="B32" s="352" t="inlineStr">
        <is>
          <t>Top Earning Account</t>
        </is>
      </c>
      <c r="C32" s="354">
        <f>IFERROR(INDEX($B$6:$B$17,MATCH(MAX($I$6:$I$17),$I$6:$I$17,0)),"—")</f>
        <v/>
      </c>
    </row>
    <row r="33">
      <c r="B33" s="352" t="inlineStr">
        <is>
          <t>Stale Accounts (&gt;30 days)</t>
        </is>
      </c>
      <c r="C33" s="349">
        <f>COUNTIF($N$6:$N$17,"⚠️ Stale")</f>
        <v/>
      </c>
    </row>
  </sheetData>
  <mergeCells count="3">
    <mergeCell ref="B3:N3"/>
    <mergeCell ref="B20:N20"/>
    <mergeCell ref="B1:N2"/>
  </mergeCells>
  <conditionalFormatting sqref="B6:H17">
    <cfRule type="expression" priority="1" dxfId="0">
      <formula>AND($B6&lt;&gt;"",$F6&lt;TODAY()-30)</formula>
    </cfRule>
    <cfRule type="expression" priority="2" dxfId="1">
      <formula>$G6="No"</formula>
    </cfRule>
  </conditionalFormatting>
  <conditionalFormatting sqref="B6:N17">
    <cfRule type="expression" priority="3" dxfId="7">
      <formula>AND($B6&lt;&gt;"",$L6&lt;&gt;"",TODAY()-$L6&gt;30)</formula>
    </cfRule>
  </conditionalFormatting>
  <dataValidations count="3">
    <dataValidation sqref="C6:C17" showDropDown="0" showInputMessage="0" showErrorMessage="0" allowBlank="0" type="list">
      <formula1>"Bank,E-Wallet,Cash / Other"</formula1>
    </dataValidation>
    <dataValidation sqref="G6:G17" showDropDown="0" showInputMessage="0" showErrorMessage="0" allowBlank="0" type="list">
      <formula1>"Annual,Monthly"</formula1>
    </dataValidation>
    <dataValidation sqref="M6:M17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3" customWidth="1" style="52" min="1" max="1"/>
    <col width="18" customWidth="1" style="52" min="2" max="2"/>
    <col width="19" customWidth="1" style="52" min="3" max="3"/>
    <col width="20" customWidth="1" style="52" min="4" max="4"/>
    <col width="20" customWidth="1" style="52" min="5" max="5"/>
    <col width="19" customWidth="1" style="52" min="6" max="6"/>
    <col width="17" customWidth="1" style="52" min="7" max="7"/>
    <col width="15" customWidth="1" style="52" min="8" max="8"/>
  </cols>
  <sheetData>
    <row r="1" ht="21" customHeight="1" s="52">
      <c r="A1" s="53" t="n"/>
      <c r="B1" s="65" t="inlineStr">
        <is>
          <t>BALANCE HISTORY</t>
        </is>
      </c>
      <c r="C1" s="1" t="n"/>
      <c r="D1" s="1" t="n"/>
      <c r="E1" s="1" t="n"/>
      <c r="F1" s="1" t="n"/>
      <c r="G1" s="1" t="n"/>
      <c r="H1" s="1" t="n"/>
    </row>
    <row r="2" ht="21" customHeight="1" s="52">
      <c r="A2" s="53" t="n"/>
      <c r="B2" s="1" t="n"/>
      <c r="C2" s="1" t="n"/>
      <c r="D2" s="1" t="n"/>
      <c r="E2" s="1" t="n"/>
      <c r="F2" s="1" t="n"/>
      <c r="G2" s="1" t="n"/>
      <c r="H2" s="1" t="n"/>
    </row>
    <row r="3" ht="21" customHeight="1" s="52">
      <c r="A3" s="53" t="n"/>
      <c r="B3" s="92" t="inlineStr">
        <is>
          <t>Add one row whenever you want to save a weekly or monthly snapshot. Use the calculated category totals that already include estimated interest.</t>
        </is>
      </c>
      <c r="C3" s="1" t="n"/>
      <c r="D3" s="1" t="n"/>
      <c r="E3" s="1" t="n"/>
      <c r="F3" s="1" t="n"/>
      <c r="G3" s="1" t="n"/>
      <c r="H3" s="1" t="n"/>
    </row>
    <row r="4" ht="21" customHeight="1" s="52">
      <c r="A4" s="53" t="n"/>
      <c r="B4" s="53" t="n"/>
      <c r="C4" s="53" t="n"/>
      <c r="D4" s="53" t="n"/>
      <c r="E4" s="53" t="n"/>
      <c r="F4" s="53" t="n"/>
      <c r="G4" s="53" t="n"/>
      <c r="H4" s="53" t="n"/>
    </row>
    <row r="5" ht="21" customHeight="1" s="52">
      <c r="A5" s="53" t="n"/>
      <c r="B5" s="56" t="inlineStr">
        <is>
          <t>Snapshot Date</t>
        </is>
      </c>
      <c r="C5" s="56" t="inlineStr">
        <is>
          <t>Bank Total (₱)</t>
        </is>
      </c>
      <c r="D5" s="56" t="inlineStr">
        <is>
          <t>E-Wallet Total (₱)</t>
        </is>
      </c>
      <c r="E5" s="56" t="inlineStr">
        <is>
          <t>Cash / Other (₱)</t>
        </is>
      </c>
      <c r="F5" s="56" t="inlineStr">
        <is>
          <t>Total Money (₱)</t>
        </is>
      </c>
      <c r="G5" s="56" t="inlineStr">
        <is>
          <t>Change (₱)</t>
        </is>
      </c>
      <c r="H5" s="56" t="inlineStr">
        <is>
          <t>Change (%)</t>
        </is>
      </c>
      <c r="I5" s="342" t="inlineStr">
        <is>
          <t>Ann. Growth (%)</t>
        </is>
      </c>
    </row>
    <row r="6" ht="21" customHeight="1" s="52">
      <c r="A6" s="53" t="n"/>
      <c r="B6" s="355" t="n">
        <v>46053</v>
      </c>
      <c r="C6" s="356" t="n">
        <v>135000</v>
      </c>
      <c r="D6" s="356" t="n">
        <v>9000</v>
      </c>
      <c r="E6" s="356" t="n">
        <v>3000</v>
      </c>
      <c r="F6" s="357">
        <f>IF(B6="","",SUM(C6:E6))</f>
        <v/>
      </c>
      <c r="G6" s="357">
        <f>""</f>
        <v/>
      </c>
      <c r="H6" s="358">
        <f>""</f>
        <v/>
      </c>
      <c r="I6" s="353">
        <f>""</f>
        <v/>
      </c>
    </row>
    <row r="7" ht="21" customHeight="1" s="52">
      <c r="A7" s="53" t="n"/>
      <c r="B7" s="355" t="n">
        <v>46081</v>
      </c>
      <c r="C7" s="356" t="n">
        <v>140000</v>
      </c>
      <c r="D7" s="356" t="n">
        <v>9800</v>
      </c>
      <c r="E7" s="356" t="n">
        <v>3200</v>
      </c>
      <c r="F7" s="357">
        <f>IF(B7="","",SUM(C7:E7))</f>
        <v/>
      </c>
      <c r="G7" s="357">
        <f>IF(B7="","",IFERROR(F7-F6,""))</f>
        <v/>
      </c>
      <c r="H7" s="358">
        <f>IF(B7="","",IFERROR(G7/F6,""))</f>
        <v/>
      </c>
      <c r="I7" s="353">
        <f>IF(OR(B7="",F7="",F$6="",B$6=""),"",IF((B7-B$6)=0,"",IFERROR((F7/F$6)^(365/(B7-B$6))-1,"")))</f>
        <v/>
      </c>
    </row>
    <row r="8" ht="21" customHeight="1" s="52">
      <c r="A8" s="53" t="n"/>
      <c r="B8" s="355" t="n">
        <v>46112</v>
      </c>
      <c r="C8" s="356" t="n">
        <v>146000</v>
      </c>
      <c r="D8" s="356" t="n">
        <v>10400</v>
      </c>
      <c r="E8" s="356" t="n">
        <v>2800</v>
      </c>
      <c r="F8" s="357">
        <f>IF(B8="","",SUM(C8:E8))</f>
        <v/>
      </c>
      <c r="G8" s="357">
        <f>IF(B8="","",IFERROR(F8-F7,""))</f>
        <v/>
      </c>
      <c r="H8" s="358">
        <f>IF(B8="","",IFERROR(G8/F7,""))</f>
        <v/>
      </c>
      <c r="I8" s="353">
        <f>IF(OR(B8="",F8="",F$6="",B$6=""),"",IF((B8-B$6)=0,"",IFERROR((F8/F$6)^(365/(B8-B$6))-1,"")))</f>
        <v/>
      </c>
    </row>
    <row r="9" ht="21" customHeight="1" s="52">
      <c r="A9" s="53" t="n"/>
      <c r="B9" s="355" t="n">
        <v>46142</v>
      </c>
      <c r="C9" s="356" t="n">
        <v>151000</v>
      </c>
      <c r="D9" s="356" t="n">
        <v>11000</v>
      </c>
      <c r="E9" s="356" t="n">
        <v>3000</v>
      </c>
      <c r="F9" s="357">
        <f>IF(B9="","",SUM(C9:E9))</f>
        <v/>
      </c>
      <c r="G9" s="357">
        <f>IF(B9="","",IFERROR(F9-F8,""))</f>
        <v/>
      </c>
      <c r="H9" s="358">
        <f>IF(B9="","",IFERROR(G9/F8,""))</f>
        <v/>
      </c>
      <c r="I9" s="353">
        <f>IF(OR(B9="",F9="",F$6="",B$6=""),"",IF((B9-B$6)=0,"",IFERROR((F9/F$6)^(365/(B9-B$6))-1,"")))</f>
        <v/>
      </c>
    </row>
    <row r="10" ht="21" customHeight="1" s="52">
      <c r="A10" s="53" t="n"/>
      <c r="B10" s="355" t="n">
        <v>46173</v>
      </c>
      <c r="C10" s="356" t="n">
        <v>157500</v>
      </c>
      <c r="D10" s="356" t="n">
        <v>12000</v>
      </c>
      <c r="E10" s="356" t="n">
        <v>3200</v>
      </c>
      <c r="F10" s="357">
        <f>IF(B10="","",SUM(C10:E10))</f>
        <v/>
      </c>
      <c r="G10" s="357">
        <f>IF(B10="","",IFERROR(F10-F9,""))</f>
        <v/>
      </c>
      <c r="H10" s="358">
        <f>IF(B10="","",IFERROR(G10/F9,""))</f>
        <v/>
      </c>
      <c r="I10" s="353">
        <f>IF(OR(B10="",F10="",F$6="",B$6=""),"",IF((B10-B$6)=0,"",IFERROR((F10/F$6)^(365/(B10-B$6))-1,"")))</f>
        <v/>
      </c>
    </row>
    <row r="11" ht="21" customHeight="1" s="52">
      <c r="A11" s="53" t="n"/>
      <c r="B11" s="355" t="n">
        <v>46203</v>
      </c>
      <c r="C11" s="356" t="n">
        <v>161000</v>
      </c>
      <c r="D11" s="356" t="n">
        <v>13200</v>
      </c>
      <c r="E11" s="356" t="n">
        <v>3300</v>
      </c>
      <c r="F11" s="357">
        <f>IF(B11="","",SUM(C11:E11))</f>
        <v/>
      </c>
      <c r="G11" s="357">
        <f>IF(B11="","",IFERROR(F11-F10,""))</f>
        <v/>
      </c>
      <c r="H11" s="358">
        <f>IF(B11="","",IFERROR(G11/F10,""))</f>
        <v/>
      </c>
      <c r="I11" s="353">
        <f>IF(OR(B11="",F11="",F$6="",B$6=""),"",IF((B11-B$6)=0,"",IFERROR((F11/F$6)^(365/(B11-B$6))-1,"")))</f>
        <v/>
      </c>
    </row>
    <row r="12" ht="21" customHeight="1" s="52">
      <c r="A12" s="53" t="n"/>
      <c r="B12" s="355" t="n">
        <v>46223</v>
      </c>
      <c r="C12" s="356" t="n">
        <v>165000</v>
      </c>
      <c r="D12" s="356" t="n">
        <v>14500</v>
      </c>
      <c r="E12" s="356" t="n">
        <v>3500</v>
      </c>
      <c r="F12" s="357">
        <f>IF(B12="","",SUM(C12:E12))</f>
        <v/>
      </c>
      <c r="G12" s="357">
        <f>IF(B12="","",IFERROR(F12-F11,""))</f>
        <v/>
      </c>
      <c r="H12" s="358">
        <f>IF(B12="","",IFERROR(G12/F11,""))</f>
        <v/>
      </c>
      <c r="I12" s="353">
        <f>IF(OR(B12="",F12="",F$6="",B$6=""),"",IF((B12-B$6)=0,"",IFERROR((F12/F$6)^(365/(B12-B$6))-1,"")))</f>
        <v/>
      </c>
    </row>
    <row r="13" ht="21" customHeight="1" s="52">
      <c r="A13" s="53" t="n"/>
      <c r="B13" s="355" t="n"/>
      <c r="C13" s="356" t="n"/>
      <c r="D13" s="356" t="n"/>
      <c r="E13" s="356" t="n"/>
      <c r="F13" s="357">
        <f>IF(B13="","",SUM(C13:E13))</f>
        <v/>
      </c>
      <c r="G13" s="357">
        <f>IF(B13="","",IFERROR(F13-F12,""))</f>
        <v/>
      </c>
      <c r="H13" s="358">
        <f>IF(B13="","",IFERROR(G13/F12,""))</f>
        <v/>
      </c>
      <c r="I13" s="353">
        <f>IF(OR(B13="",F13="",F$6="",B$6=""),"",IF((B13-B$6)=0,"",IFERROR((F13/F$6)^(365/(B13-B$6))-1,"")))</f>
        <v/>
      </c>
    </row>
    <row r="14" ht="21" customHeight="1" s="52">
      <c r="A14" s="53" t="n"/>
      <c r="B14" s="355" t="n"/>
      <c r="C14" s="356" t="n"/>
      <c r="D14" s="356" t="n"/>
      <c r="E14" s="356" t="n"/>
      <c r="F14" s="357">
        <f>IF(B14="","",SUM(C14:E14))</f>
        <v/>
      </c>
      <c r="G14" s="357">
        <f>IF(B14="","",IFERROR(F14-F13,""))</f>
        <v/>
      </c>
      <c r="H14" s="358">
        <f>IF(B14="","",IFERROR(G14/F13,""))</f>
        <v/>
      </c>
      <c r="I14" s="353">
        <f>IF(OR(B14="",F14="",F$6="",B$6=""),"",IF((B14-B$6)=0,"",IFERROR((F14/F$6)^(365/(B14-B$6))-1,"")))</f>
        <v/>
      </c>
    </row>
    <row r="15" ht="21" customHeight="1" s="52">
      <c r="A15" s="53" t="n"/>
      <c r="B15" s="355" t="n"/>
      <c r="C15" s="356" t="n"/>
      <c r="D15" s="356" t="n"/>
      <c r="E15" s="356" t="n"/>
      <c r="F15" s="357">
        <f>IF(B15="","",SUM(C15:E15))</f>
        <v/>
      </c>
      <c r="G15" s="357">
        <f>IF(B15="","",IFERROR(F15-F14,""))</f>
        <v/>
      </c>
      <c r="H15" s="358">
        <f>IF(B15="","",IFERROR(G15/F14,""))</f>
        <v/>
      </c>
      <c r="I15" s="353">
        <f>IF(OR(B15="",F15="",F$6="",B$6=""),"",IF((B15-B$6)=0,"",IFERROR((F15/F$6)^(365/(B15-B$6))-1,"")))</f>
        <v/>
      </c>
    </row>
    <row r="16" ht="21" customHeight="1" s="52">
      <c r="A16" s="53" t="n"/>
      <c r="B16" s="355" t="n"/>
      <c r="C16" s="356" t="n"/>
      <c r="D16" s="356" t="n"/>
      <c r="E16" s="356" t="n"/>
      <c r="F16" s="357">
        <f>IF(B16="","",SUM(C16:E16))</f>
        <v/>
      </c>
      <c r="G16" s="357">
        <f>IF(B16="","",IFERROR(F16-F15,""))</f>
        <v/>
      </c>
      <c r="H16" s="358">
        <f>IF(B16="","",IFERROR(G16/F15,""))</f>
        <v/>
      </c>
      <c r="I16" s="353">
        <f>IF(OR(B16="",F16="",F$6="",B$6=""),"",IF((B16-B$6)=0,"",IFERROR((F16/F$6)^(365/(B16-B$6))-1,"")))</f>
        <v/>
      </c>
    </row>
    <row r="17" ht="21" customHeight="1" s="52">
      <c r="A17" s="53" t="n"/>
      <c r="B17" s="355" t="n"/>
      <c r="C17" s="356" t="n"/>
      <c r="D17" s="356" t="n"/>
      <c r="E17" s="356" t="n"/>
      <c r="F17" s="357">
        <f>IF(B17="","",SUM(C17:E17))</f>
        <v/>
      </c>
      <c r="G17" s="357">
        <f>IF(B17="","",IFERROR(F17-F16,""))</f>
        <v/>
      </c>
      <c r="H17" s="358">
        <f>IF(B17="","",IFERROR(G17/F16,""))</f>
        <v/>
      </c>
      <c r="I17" s="353">
        <f>IF(OR(B17="",F17="",F$6="",B$6=""),"",IF((B17-B$6)=0,"",IFERROR((F17/F$6)^(365/(B17-B$6))-1,"")))</f>
        <v/>
      </c>
    </row>
    <row r="18" ht="21" customHeight="1" s="52">
      <c r="A18" s="53" t="n"/>
      <c r="B18" s="355" t="n"/>
      <c r="C18" s="356" t="n"/>
      <c r="D18" s="356" t="n"/>
      <c r="E18" s="356" t="n"/>
      <c r="F18" s="357">
        <f>IF(B18="","",SUM(C18:E18))</f>
        <v/>
      </c>
      <c r="G18" s="357">
        <f>IF(B18="","",IFERROR(F18-F17,""))</f>
        <v/>
      </c>
      <c r="H18" s="358">
        <f>IF(B18="","",IFERROR(G18/F17,""))</f>
        <v/>
      </c>
      <c r="I18" s="353">
        <f>IF(OR(B18="",F18="",F$6="",B$6=""),"",IF((B18-B$6)=0,"",IFERROR((F18/F$6)^(365/(B18-B$6))-1,"")))</f>
        <v/>
      </c>
    </row>
    <row r="19" ht="21" customHeight="1" s="52">
      <c r="A19" s="53" t="n"/>
      <c r="B19" s="355" t="n"/>
      <c r="C19" s="356" t="n"/>
      <c r="D19" s="356" t="n"/>
      <c r="E19" s="356" t="n"/>
      <c r="F19" s="357">
        <f>IF(B19="","",SUM(C19:E19))</f>
        <v/>
      </c>
      <c r="G19" s="357">
        <f>IF(B19="","",IFERROR(F19-F18,""))</f>
        <v/>
      </c>
      <c r="H19" s="358">
        <f>IF(B19="","",IFERROR(G19/F18,""))</f>
        <v/>
      </c>
      <c r="I19" s="353">
        <f>IF(OR(B19="",F19="",F$6="",B$6=""),"",IF((B19-B$6)=0,"",IFERROR((F19/F$6)^(365/(B19-B$6))-1,"")))</f>
        <v/>
      </c>
    </row>
    <row r="20" ht="21" customHeight="1" s="52">
      <c r="A20" s="53" t="n"/>
      <c r="B20" s="355" t="n"/>
      <c r="C20" s="356" t="n"/>
      <c r="D20" s="356" t="n"/>
      <c r="E20" s="356" t="n"/>
      <c r="F20" s="357">
        <f>IF(B20="","",SUM(C20:E20))</f>
        <v/>
      </c>
      <c r="G20" s="357">
        <f>IF(B20="","",IFERROR(F20-F19,""))</f>
        <v/>
      </c>
      <c r="H20" s="358">
        <f>IF(B20="","",IFERROR(G20/F19,""))</f>
        <v/>
      </c>
      <c r="I20" s="353">
        <f>IF(OR(B20="",F20="",F$6="",B$6=""),"",IF((B20-B$6)=0,"",IFERROR((F20/F$6)^(365/(B20-B$6))-1,"")))</f>
        <v/>
      </c>
    </row>
    <row r="21" ht="21" customHeight="1" s="52">
      <c r="A21" s="53" t="n"/>
      <c r="B21" s="355" t="n"/>
      <c r="C21" s="356" t="n"/>
      <c r="D21" s="356" t="n"/>
      <c r="E21" s="356" t="n"/>
      <c r="F21" s="357">
        <f>IF(B21="","",SUM(C21:E21))</f>
        <v/>
      </c>
      <c r="G21" s="357">
        <f>IF(B21="","",IFERROR(F21-F20,""))</f>
        <v/>
      </c>
      <c r="H21" s="358">
        <f>IF(B21="","",IFERROR(G21/F20,""))</f>
        <v/>
      </c>
      <c r="I21" s="353">
        <f>IF(OR(B21="",F21="",F$6="",B$6=""),"",IF((B21-B$6)=0,"",IFERROR((F21/F$6)^(365/(B21-B$6))-1,"")))</f>
        <v/>
      </c>
    </row>
    <row r="22" ht="21" customHeight="1" s="52">
      <c r="A22" s="53" t="n"/>
      <c r="B22" s="355" t="n"/>
      <c r="C22" s="356" t="n"/>
      <c r="D22" s="356" t="n"/>
      <c r="E22" s="356" t="n"/>
      <c r="F22" s="357">
        <f>IF(B22="","",SUM(C22:E22))</f>
        <v/>
      </c>
      <c r="G22" s="357">
        <f>IF(B22="","",IFERROR(F22-F21,""))</f>
        <v/>
      </c>
      <c r="H22" s="358">
        <f>IF(B22="","",IFERROR(G22/F21,""))</f>
        <v/>
      </c>
      <c r="I22" s="353">
        <f>IF(OR(B22="",F22="",F$6="",B$6=""),"",IF((B22-B$6)=0,"",IFERROR((F22/F$6)^(365/(B22-B$6))-1,"")))</f>
        <v/>
      </c>
    </row>
    <row r="23" ht="21" customHeight="1" s="52">
      <c r="A23" s="53" t="n"/>
      <c r="B23" s="355" t="n"/>
      <c r="C23" s="356" t="n"/>
      <c r="D23" s="356" t="n"/>
      <c r="E23" s="356" t="n"/>
      <c r="F23" s="357">
        <f>IF(B23="","",SUM(C23:E23))</f>
        <v/>
      </c>
      <c r="G23" s="357">
        <f>IF(B23="","",IFERROR(F23-F22,""))</f>
        <v/>
      </c>
      <c r="H23" s="358">
        <f>IF(B23="","",IFERROR(G23/F22,""))</f>
        <v/>
      </c>
      <c r="I23" s="353">
        <f>IF(OR(B23="",F23="",F$6="",B$6=""),"",IF((B23-B$6)=0,"",IFERROR((F23/F$6)^(365/(B23-B$6))-1,"")))</f>
        <v/>
      </c>
    </row>
    <row r="24" ht="21" customHeight="1" s="52">
      <c r="A24" s="53" t="n"/>
      <c r="B24" s="355" t="n"/>
      <c r="C24" s="356" t="n"/>
      <c r="D24" s="356" t="n"/>
      <c r="E24" s="356" t="n"/>
      <c r="F24" s="357">
        <f>IF(B24="","",SUM(C24:E24))</f>
        <v/>
      </c>
      <c r="G24" s="357">
        <f>IF(B24="","",IFERROR(F24-F23,""))</f>
        <v/>
      </c>
      <c r="H24" s="358">
        <f>IF(B24="","",IFERROR(G24/F23,""))</f>
        <v/>
      </c>
      <c r="I24" s="353">
        <f>IF(OR(B24="",F24="",F$6="",B$6=""),"",IF((B24-B$6)=0,"",IFERROR((F24/F$6)^(365/(B24-B$6))-1,"")))</f>
        <v/>
      </c>
    </row>
    <row r="25" ht="21" customHeight="1" s="52">
      <c r="A25" s="53" t="n"/>
      <c r="B25" s="355" t="n"/>
      <c r="C25" s="356" t="n"/>
      <c r="D25" s="356" t="n"/>
      <c r="E25" s="356" t="n"/>
      <c r="F25" s="357">
        <f>IF(B25="","",SUM(C25:E25))</f>
        <v/>
      </c>
      <c r="G25" s="357">
        <f>IF(B25="","",IFERROR(F25-F24,""))</f>
        <v/>
      </c>
      <c r="H25" s="358">
        <f>IF(B25="","",IFERROR(G25/F24,""))</f>
        <v/>
      </c>
      <c r="I25" s="353">
        <f>IF(OR(B25="",F25="",F$6="",B$6=""),"",IF((B25-B$6)=0,"",IFERROR((F25/F$6)^(365/(B25-B$6))-1,"")))</f>
        <v/>
      </c>
    </row>
    <row r="26" ht="21" customHeight="1" s="52">
      <c r="A26" s="53" t="n"/>
      <c r="B26" s="355" t="n"/>
      <c r="C26" s="356" t="n"/>
      <c r="D26" s="356" t="n"/>
      <c r="E26" s="356" t="n"/>
      <c r="F26" s="357">
        <f>IF(B26="","",SUM(C26:E26))</f>
        <v/>
      </c>
      <c r="G26" s="357">
        <f>IF(B26="","",IFERROR(F26-F25,""))</f>
        <v/>
      </c>
      <c r="H26" s="358">
        <f>IF(B26="","",IFERROR(G26/F25,""))</f>
        <v/>
      </c>
      <c r="I26" s="353">
        <f>IF(OR(B26="",F26="",F$6="",B$6=""),"",IF((B26-B$6)=0,"",IFERROR((F26/F$6)^(365/(B26-B$6))-1,"")))</f>
        <v/>
      </c>
    </row>
    <row r="27" ht="21" customHeight="1" s="52">
      <c r="A27" s="53" t="n"/>
      <c r="B27" s="355" t="n"/>
      <c r="C27" s="356" t="n"/>
      <c r="D27" s="356" t="n"/>
      <c r="E27" s="356" t="n"/>
      <c r="F27" s="357">
        <f>IF(B27="","",SUM(C27:E27))</f>
        <v/>
      </c>
      <c r="G27" s="357">
        <f>IF(B27="","",IFERROR(F27-F26,""))</f>
        <v/>
      </c>
      <c r="H27" s="358">
        <f>IF(B27="","",IFERROR(G27/F26,""))</f>
        <v/>
      </c>
      <c r="I27" s="353">
        <f>IF(OR(B27="",F27="",F$6="",B$6=""),"",IF((B27-B$6)=0,"",IFERROR((F27/F$6)^(365/(B27-B$6))-1,"")))</f>
        <v/>
      </c>
    </row>
    <row r="28" ht="21" customHeight="1" s="52">
      <c r="A28" s="53" t="n"/>
      <c r="B28" s="355" t="n"/>
      <c r="C28" s="356" t="n"/>
      <c r="D28" s="356" t="n"/>
      <c r="E28" s="356" t="n"/>
      <c r="F28" s="357">
        <f>IF(B28="","",SUM(C28:E28))</f>
        <v/>
      </c>
      <c r="G28" s="357">
        <f>IF(B28="","",IFERROR(F28-F27,""))</f>
        <v/>
      </c>
      <c r="H28" s="358">
        <f>IF(B28="","",IFERROR(G28/F27,""))</f>
        <v/>
      </c>
      <c r="I28" s="353">
        <f>IF(OR(B28="",F28="",F$6="",B$6=""),"",IF((B28-B$6)=0,"",IFERROR((F28/F$6)^(365/(B28-B$6))-1,"")))</f>
        <v/>
      </c>
    </row>
    <row r="29" ht="21" customHeight="1" s="52">
      <c r="A29" s="53" t="n"/>
      <c r="B29" s="355" t="n"/>
      <c r="C29" s="356" t="n"/>
      <c r="D29" s="356" t="n"/>
      <c r="E29" s="356" t="n"/>
      <c r="F29" s="357">
        <f>IF(B29="","",SUM(C29:E29))</f>
        <v/>
      </c>
      <c r="G29" s="357">
        <f>IF(B29="","",IFERROR(F29-F28,""))</f>
        <v/>
      </c>
      <c r="H29" s="358">
        <f>IF(B29="","",IFERROR(G29/F28,""))</f>
        <v/>
      </c>
      <c r="I29" s="353">
        <f>IF(OR(B29="",F29="",F$6="",B$6=""),"",IF((B29-B$6)=0,"",IFERROR((F29/F$6)^(365/(B29-B$6))-1,"")))</f>
        <v/>
      </c>
    </row>
    <row r="30" ht="21" customHeight="1" s="52">
      <c r="A30" s="53" t="n"/>
      <c r="B30" s="355" t="n"/>
      <c r="C30" s="356" t="n"/>
      <c r="D30" s="356" t="n"/>
      <c r="E30" s="356" t="n"/>
      <c r="F30" s="357">
        <f>IF(B30="","",SUM(C30:E30))</f>
        <v/>
      </c>
      <c r="G30" s="357">
        <f>IF(B30="","",IFERROR(F30-F29,""))</f>
        <v/>
      </c>
      <c r="H30" s="358">
        <f>IF(B30="","",IFERROR(G30/F29,""))</f>
        <v/>
      </c>
      <c r="I30" s="353">
        <f>IF(OR(B30="",F30="",F$6="",B$6=""),"",IF((B30-B$6)=0,"",IFERROR((F30/F$6)^(365/(B30-B$6))-1,"")))</f>
        <v/>
      </c>
    </row>
    <row r="31" ht="21" customHeight="1" s="52">
      <c r="A31" s="53" t="n"/>
      <c r="B31" s="355" t="n"/>
      <c r="C31" s="356" t="n"/>
      <c r="D31" s="356" t="n"/>
      <c r="E31" s="356" t="n"/>
      <c r="F31" s="357">
        <f>IF(B31="","",SUM(C31:E31))</f>
        <v/>
      </c>
      <c r="G31" s="357">
        <f>IF(B31="","",IFERROR(F31-F30,""))</f>
        <v/>
      </c>
      <c r="H31" s="358">
        <f>IF(B31="","",IFERROR(G31/F30,""))</f>
        <v/>
      </c>
      <c r="I31" s="353">
        <f>IF(OR(B31="",F31="",F$6="",B$6=""),"",IF((B31-B$6)=0,"",IFERROR((F31/F$6)^(365/(B31-B$6))-1,"")))</f>
        <v/>
      </c>
    </row>
    <row r="32" ht="21" customHeight="1" s="52">
      <c r="A32" s="53" t="n"/>
      <c r="B32" s="355" t="n"/>
      <c r="C32" s="356" t="n"/>
      <c r="D32" s="356" t="n"/>
      <c r="E32" s="356" t="n"/>
      <c r="F32" s="357">
        <f>IF(B32="","",SUM(C32:E32))</f>
        <v/>
      </c>
      <c r="G32" s="357">
        <f>IF(B32="","",IFERROR(F32-F31,""))</f>
        <v/>
      </c>
      <c r="H32" s="358">
        <f>IF(B32="","",IFERROR(G32/F31,""))</f>
        <v/>
      </c>
      <c r="I32" s="353">
        <f>IF(OR(B32="",F32="",F$6="",B$6=""),"",IF((B32-B$6)=0,"",IFERROR((F32/F$6)^(365/(B32-B$6))-1,"")))</f>
        <v/>
      </c>
    </row>
    <row r="33" ht="21" customHeight="1" s="52">
      <c r="A33" s="53" t="n"/>
      <c r="B33" s="355" t="n"/>
      <c r="C33" s="356" t="n"/>
      <c r="D33" s="356" t="n"/>
      <c r="E33" s="356" t="n"/>
      <c r="F33" s="357">
        <f>IF(B33="","",SUM(C33:E33))</f>
        <v/>
      </c>
      <c r="G33" s="357">
        <f>IF(B33="","",IFERROR(F33-F32,""))</f>
        <v/>
      </c>
      <c r="H33" s="358">
        <f>IF(B33="","",IFERROR(G33/F32,""))</f>
        <v/>
      </c>
      <c r="I33" s="353">
        <f>IF(OR(B33="",F33="",F$6="",B$6=""),"",IF((B33-B$6)=0,"",IFERROR((F33/F$6)^(365/(B33-B$6))-1,"")))</f>
        <v/>
      </c>
    </row>
    <row r="34" ht="21" customHeight="1" s="52">
      <c r="A34" s="53" t="n"/>
      <c r="B34" s="355" t="n"/>
      <c r="C34" s="356" t="n"/>
      <c r="D34" s="356" t="n"/>
      <c r="E34" s="356" t="n"/>
      <c r="F34" s="357">
        <f>IF(B34="","",SUM(C34:E34))</f>
        <v/>
      </c>
      <c r="G34" s="357">
        <f>IF(B34="","",IFERROR(F34-F33,""))</f>
        <v/>
      </c>
      <c r="H34" s="358">
        <f>IF(B34="","",IFERROR(G34/F33,""))</f>
        <v/>
      </c>
      <c r="I34" s="353">
        <f>IF(OR(B34="",F34="",F$6="",B$6=""),"",IF((B34-B$6)=0,"",IFERROR((F34/F$6)^(365/(B34-B$6))-1,"")))</f>
        <v/>
      </c>
    </row>
    <row r="35" ht="21" customHeight="1" s="52">
      <c r="A35" s="53" t="n"/>
      <c r="B35" s="355" t="n"/>
      <c r="C35" s="356" t="n"/>
      <c r="D35" s="356" t="n"/>
      <c r="E35" s="356" t="n"/>
      <c r="F35" s="357">
        <f>IF(B35="","",SUM(C35:E35))</f>
        <v/>
      </c>
      <c r="G35" s="357">
        <f>IF(B35="","",IFERROR(F35-F34,""))</f>
        <v/>
      </c>
      <c r="H35" s="358">
        <f>IF(B35="","",IFERROR(G35/F34,""))</f>
        <v/>
      </c>
      <c r="I35" s="353">
        <f>IF(OR(B35="",F35="",F$6="",B$6=""),"",IF((B35-B$6)=0,"",IFERROR((F35/F$6)^(365/(B35-B$6))-1,"")))</f>
        <v/>
      </c>
    </row>
    <row r="36" ht="21" customHeight="1" s="52">
      <c r="A36" s="53" t="n"/>
      <c r="B36" s="355" t="n"/>
      <c r="C36" s="356" t="n"/>
      <c r="D36" s="356" t="n"/>
      <c r="E36" s="356" t="n"/>
      <c r="F36" s="357">
        <f>IF(B36="","",SUM(C36:E36))</f>
        <v/>
      </c>
      <c r="G36" s="357">
        <f>IF(B36="","",IFERROR(F36-F35,""))</f>
        <v/>
      </c>
      <c r="H36" s="358">
        <f>IF(B36="","",IFERROR(G36/F35,""))</f>
        <v/>
      </c>
      <c r="I36" s="353">
        <f>IF(OR(B36="",F36="",F$6="",B$6=""),"",IF((B36-B$6)=0,"",IFERROR((F36/F$6)^(365/(B36-B$6))-1,"")))</f>
        <v/>
      </c>
    </row>
    <row r="37" ht="21" customHeight="1" s="52">
      <c r="A37" s="53" t="n"/>
      <c r="B37" s="355" t="n"/>
      <c r="C37" s="356" t="n"/>
      <c r="D37" s="356" t="n"/>
      <c r="E37" s="356" t="n"/>
      <c r="F37" s="357">
        <f>IF(B37="","",SUM(C37:E37))</f>
        <v/>
      </c>
      <c r="G37" s="357">
        <f>IF(B37="","",IFERROR(F37-F36,""))</f>
        <v/>
      </c>
      <c r="H37" s="358">
        <f>IF(B37="","",IFERROR(G37/F36,""))</f>
        <v/>
      </c>
      <c r="I37" s="353">
        <f>IF(OR(B37="",F37="",F$6="",B$6=""),"",IF((B37-B$6)=0,"",IFERROR((F37/F$6)^(365/(B37-B$6))-1,"")))</f>
        <v/>
      </c>
    </row>
    <row r="38" ht="21" customHeight="1" s="52">
      <c r="A38" s="53" t="n"/>
      <c r="B38" s="355" t="n"/>
      <c r="C38" s="356" t="n"/>
      <c r="D38" s="356" t="n"/>
      <c r="E38" s="356" t="n"/>
      <c r="F38" s="357">
        <f>IF(B38="","",SUM(C38:E38))</f>
        <v/>
      </c>
      <c r="G38" s="357">
        <f>IF(B38="","",IFERROR(F38-F37,""))</f>
        <v/>
      </c>
      <c r="H38" s="358">
        <f>IF(B38="","",IFERROR(G38/F37,""))</f>
        <v/>
      </c>
      <c r="I38" s="353">
        <f>IF(OR(B38="",F38="",F$6="",B$6=""),"",IF((B38-B$6)=0,"",IFERROR((F38/F$6)^(365/(B38-B$6))-1,"")))</f>
        <v/>
      </c>
    </row>
    <row r="39" ht="21" customHeight="1" s="52">
      <c r="A39" s="53" t="n"/>
      <c r="B39" s="355" t="n"/>
      <c r="C39" s="356" t="n"/>
      <c r="D39" s="356" t="n"/>
      <c r="E39" s="356" t="n"/>
      <c r="F39" s="357">
        <f>IF(B39="","",SUM(C39:E39))</f>
        <v/>
      </c>
      <c r="G39" s="357">
        <f>IF(B39="","",IFERROR(F39-F38,""))</f>
        <v/>
      </c>
      <c r="H39" s="358">
        <f>IF(B39="","",IFERROR(G39/F38,""))</f>
        <v/>
      </c>
      <c r="I39" s="353">
        <f>IF(OR(B39="",F39="",F$6="",B$6=""),"",IF((B39-B$6)=0,"",IFERROR((F39/F$6)^(365/(B39-B$6))-1,"")))</f>
        <v/>
      </c>
    </row>
    <row r="40" ht="21" customHeight="1" s="52">
      <c r="A40" s="53" t="n"/>
      <c r="B40" s="355" t="n"/>
      <c r="C40" s="356" t="n"/>
      <c r="D40" s="356" t="n"/>
      <c r="E40" s="356" t="n"/>
      <c r="F40" s="357">
        <f>IF(B40="","",SUM(C40:E40))</f>
        <v/>
      </c>
      <c r="G40" s="357">
        <f>IF(B40="","",IFERROR(F40-F39,""))</f>
        <v/>
      </c>
      <c r="H40" s="358">
        <f>IF(B40="","",IFERROR(G40/F39,""))</f>
        <v/>
      </c>
      <c r="I40" s="353">
        <f>IF(OR(B40="",F40="",F$6="",B$6=""),"",IF((B40-B$6)=0,"",IFERROR((F40/F$6)^(365/(B40-B$6))-1,"")))</f>
        <v/>
      </c>
    </row>
    <row r="41" ht="21" customHeight="1" s="52">
      <c r="A41" s="53" t="n"/>
      <c r="B41" s="355" t="n"/>
      <c r="C41" s="356" t="n"/>
      <c r="D41" s="356" t="n"/>
      <c r="E41" s="356" t="n"/>
      <c r="F41" s="357">
        <f>IF(B41="","",SUM(C41:E41))</f>
        <v/>
      </c>
      <c r="G41" s="357">
        <f>IF(B41="","",IFERROR(F41-F40,""))</f>
        <v/>
      </c>
      <c r="H41" s="358">
        <f>IF(B41="","",IFERROR(G41/F40,""))</f>
        <v/>
      </c>
      <c r="I41" s="353">
        <f>IF(OR(B41="",F41="",F$6="",B$6=""),"",IF((B41-B$6)=0,"",IFERROR((F41/F$6)^(365/(B41-B$6))-1,"")))</f>
        <v/>
      </c>
    </row>
    <row r="42" ht="21" customHeight="1" s="52">
      <c r="A42" s="53" t="n"/>
      <c r="B42" s="355" t="n"/>
      <c r="C42" s="356" t="n"/>
      <c r="D42" s="356" t="n"/>
      <c r="E42" s="356" t="n"/>
      <c r="F42" s="357">
        <f>IF(B42="","",SUM(C42:E42))</f>
        <v/>
      </c>
      <c r="G42" s="357">
        <f>IF(B42="","",IFERROR(F42-F41,""))</f>
        <v/>
      </c>
      <c r="H42" s="358">
        <f>IF(B42="","",IFERROR(G42/F41,""))</f>
        <v/>
      </c>
      <c r="I42" s="353">
        <f>IF(OR(B42="",F42="",F$6="",B$6=""),"",IF((B42-B$6)=0,"",IFERROR((F42/F$6)^(365/(B42-B$6))-1,"")))</f>
        <v/>
      </c>
    </row>
    <row r="43" ht="21" customHeight="1" s="52">
      <c r="A43" s="53" t="n"/>
      <c r="B43" s="355" t="n"/>
      <c r="C43" s="356" t="n"/>
      <c r="D43" s="356" t="n"/>
      <c r="E43" s="356" t="n"/>
      <c r="F43" s="357">
        <f>IF(B43="","",SUM(C43:E43))</f>
        <v/>
      </c>
      <c r="G43" s="357">
        <f>IF(B43="","",IFERROR(F43-F42,""))</f>
        <v/>
      </c>
      <c r="H43" s="358">
        <f>IF(B43="","",IFERROR(G43/F42,""))</f>
        <v/>
      </c>
      <c r="I43" s="353">
        <f>IF(OR(B43="",F43="",F$6="",B$6=""),"",IF((B43-B$6)=0,"",IFERROR((F43/F$6)^(365/(B43-B$6))-1,"")))</f>
        <v/>
      </c>
    </row>
    <row r="44" ht="21" customHeight="1" s="52">
      <c r="A44" s="53" t="n"/>
      <c r="B44" s="355" t="n"/>
      <c r="C44" s="356" t="n"/>
      <c r="D44" s="356" t="n"/>
      <c r="E44" s="356" t="n"/>
      <c r="F44" s="357">
        <f>IF(B44="","",SUM(C44:E44))</f>
        <v/>
      </c>
      <c r="G44" s="357">
        <f>IF(B44="","",IFERROR(F44-F43,""))</f>
        <v/>
      </c>
      <c r="H44" s="358">
        <f>IF(B44="","",IFERROR(G44/F43,""))</f>
        <v/>
      </c>
      <c r="I44" s="353">
        <f>IF(OR(B44="",F44="",F$6="",B$6=""),"",IF((B44-B$6)=0,"",IFERROR((F44/F$6)^(365/(B44-B$6))-1,"")))</f>
        <v/>
      </c>
    </row>
    <row r="45" ht="21" customHeight="1" s="52">
      <c r="A45" s="53" t="n"/>
      <c r="B45" s="355" t="n"/>
      <c r="C45" s="356" t="n"/>
      <c r="D45" s="356" t="n"/>
      <c r="E45" s="356" t="n"/>
      <c r="F45" s="357">
        <f>IF(B45="","",SUM(C45:E45))</f>
        <v/>
      </c>
      <c r="G45" s="357">
        <f>IF(B45="","",IFERROR(F45-F44,""))</f>
        <v/>
      </c>
      <c r="H45" s="358">
        <f>IF(B45="","",IFERROR(G45/F44,""))</f>
        <v/>
      </c>
      <c r="I45" s="353">
        <f>IF(OR(B45="",F45="",F$6="",B$6=""),"",IF((B45-B$6)=0,"",IFERROR((F45/F$6)^(365/(B45-B$6))-1,"")))</f>
        <v/>
      </c>
    </row>
    <row r="46" ht="21" customHeight="1" s="52">
      <c r="A46" s="53" t="n"/>
      <c r="B46" s="355" t="n"/>
      <c r="C46" s="356" t="n"/>
      <c r="D46" s="356" t="n"/>
      <c r="E46" s="356" t="n"/>
      <c r="F46" s="357">
        <f>IF(B46="","",SUM(C46:E46))</f>
        <v/>
      </c>
      <c r="G46" s="357">
        <f>IF(B46="","",IFERROR(F46-F45,""))</f>
        <v/>
      </c>
      <c r="H46" s="358">
        <f>IF(B46="","",IFERROR(G46/F45,""))</f>
        <v/>
      </c>
      <c r="I46" s="353">
        <f>IF(OR(B46="",F46="",F$6="",B$6=""),"",IF((B46-B$6)=0,"",IFERROR((F46/F$6)^(365/(B46-B$6))-1,"")))</f>
        <v/>
      </c>
    </row>
    <row r="47" ht="21" customHeight="1" s="52">
      <c r="A47" s="53" t="n"/>
      <c r="B47" s="355" t="n"/>
      <c r="C47" s="356" t="n"/>
      <c r="D47" s="356" t="n"/>
      <c r="E47" s="356" t="n"/>
      <c r="F47" s="357">
        <f>IF(B47="","",SUM(C47:E47))</f>
        <v/>
      </c>
      <c r="G47" s="357">
        <f>IF(B47="","",IFERROR(F47-F46,""))</f>
        <v/>
      </c>
      <c r="H47" s="358">
        <f>IF(B47="","",IFERROR(G47/F46,""))</f>
        <v/>
      </c>
      <c r="I47" s="353">
        <f>IF(OR(B47="",F47="",F$6="",B$6=""),"",IF((B47-B$6)=0,"",IFERROR((F47/F$6)^(365/(B47-B$6))-1,"")))</f>
        <v/>
      </c>
    </row>
    <row r="48" ht="21" customHeight="1" s="52">
      <c r="A48" s="53" t="n"/>
      <c r="B48" s="355" t="n"/>
      <c r="C48" s="356" t="n"/>
      <c r="D48" s="356" t="n"/>
      <c r="E48" s="356" t="n"/>
      <c r="F48" s="357">
        <f>IF(B48="","",SUM(C48:E48))</f>
        <v/>
      </c>
      <c r="G48" s="357">
        <f>IF(B48="","",IFERROR(F48-F47,""))</f>
        <v/>
      </c>
      <c r="H48" s="358">
        <f>IF(B48="","",IFERROR(G48/F47,""))</f>
        <v/>
      </c>
      <c r="I48" s="353">
        <f>IF(OR(B48="",F48="",F$6="",B$6=""),"",IF((B48-B$6)=0,"",IFERROR((F48/F$6)^(365/(B48-B$6))-1,"")))</f>
        <v/>
      </c>
    </row>
    <row r="49" ht="21" customHeight="1" s="52">
      <c r="A49" s="53" t="n"/>
      <c r="B49" s="355" t="n"/>
      <c r="C49" s="356" t="n"/>
      <c r="D49" s="356" t="n"/>
      <c r="E49" s="356" t="n"/>
      <c r="F49" s="357">
        <f>IF(B49="","",SUM(C49:E49))</f>
        <v/>
      </c>
      <c r="G49" s="357">
        <f>IF(B49="","",IFERROR(F49-F48,""))</f>
        <v/>
      </c>
      <c r="H49" s="358">
        <f>IF(B49="","",IFERROR(G49/F48,""))</f>
        <v/>
      </c>
      <c r="I49" s="353">
        <f>IF(OR(B49="",F49="",F$6="",B$6=""),"",IF((B49-B$6)=0,"",IFERROR((F49/F$6)^(365/(B49-B$6))-1,"")))</f>
        <v/>
      </c>
    </row>
    <row r="50" ht="21" customHeight="1" s="52">
      <c r="A50" s="53" t="n"/>
      <c r="B50" s="355" t="n"/>
      <c r="C50" s="356" t="n"/>
      <c r="D50" s="356" t="n"/>
      <c r="E50" s="356" t="n"/>
      <c r="F50" s="357">
        <f>IF(B50="","",SUM(C50:E50))</f>
        <v/>
      </c>
      <c r="G50" s="357">
        <f>IF(B50="","",IFERROR(F50-F49,""))</f>
        <v/>
      </c>
      <c r="H50" s="358">
        <f>IF(B50="","",IFERROR(G50/F49,""))</f>
        <v/>
      </c>
      <c r="I50" s="353">
        <f>IF(OR(B50="",F50="",F$6="",B$6=""),"",IF((B50-B$6)=0,"",IFERROR((F50/F$6)^(365/(B50-B$6))-1,"")))</f>
        <v/>
      </c>
    </row>
    <row r="51" ht="21" customHeight="1" s="52">
      <c r="A51" s="53" t="n"/>
      <c r="B51" s="355" t="n"/>
      <c r="C51" s="356" t="n"/>
      <c r="D51" s="356" t="n"/>
      <c r="E51" s="356" t="n"/>
      <c r="F51" s="357">
        <f>IF(B51="","",SUM(C51:E51))</f>
        <v/>
      </c>
      <c r="G51" s="357">
        <f>IF(B51="","",IFERROR(F51-F50,""))</f>
        <v/>
      </c>
      <c r="H51" s="358">
        <f>IF(B51="","",IFERROR(G51/F50,""))</f>
        <v/>
      </c>
      <c r="I51" s="353">
        <f>IF(OR(B51="",F51="",F$6="",B$6=""),"",IF((B51-B$6)=0,"",IFERROR((F51/F$6)^(365/(B51-B$6))-1,"")))</f>
        <v/>
      </c>
    </row>
    <row r="52" ht="21" customHeight="1" s="52">
      <c r="A52" s="53" t="n"/>
      <c r="B52" s="355" t="n"/>
      <c r="C52" s="356" t="n"/>
      <c r="D52" s="356" t="n"/>
      <c r="E52" s="356" t="n"/>
      <c r="F52" s="357">
        <f>IF(B52="","",SUM(C52:E52))</f>
        <v/>
      </c>
      <c r="G52" s="357">
        <f>IF(B52="","",IFERROR(F52-F51,""))</f>
        <v/>
      </c>
      <c r="H52" s="358">
        <f>IF(B52="","",IFERROR(G52/F51,""))</f>
        <v/>
      </c>
      <c r="I52" s="353">
        <f>IF(OR(B52="",F52="",F$6="",B$6=""),"",IF((B52-B$6)=0,"",IFERROR((F52/F$6)^(365/(B52-B$6))-1,"")))</f>
        <v/>
      </c>
    </row>
    <row r="53" ht="21" customHeight="1" s="52">
      <c r="A53" s="53" t="n"/>
      <c r="B53" s="355" t="n"/>
      <c r="C53" s="356" t="n"/>
      <c r="D53" s="356" t="n"/>
      <c r="E53" s="356" t="n"/>
      <c r="F53" s="357">
        <f>IF(B53="","",SUM(C53:E53))</f>
        <v/>
      </c>
      <c r="G53" s="357">
        <f>IF(B53="","",IFERROR(F53-F52,""))</f>
        <v/>
      </c>
      <c r="H53" s="358">
        <f>IF(B53="","",IFERROR(G53/F52,""))</f>
        <v/>
      </c>
      <c r="I53" s="353">
        <f>IF(OR(B53="",F53="",F$6="",B$6=""),"",IF((B53-B$6)=0,"",IFERROR((F53/F$6)^(365/(B53-B$6))-1,"")))</f>
        <v/>
      </c>
    </row>
    <row r="54" ht="21" customHeight="1" s="52">
      <c r="A54" s="53" t="n"/>
      <c r="B54" s="355" t="n"/>
      <c r="C54" s="356" t="n"/>
      <c r="D54" s="356" t="n"/>
      <c r="E54" s="356" t="n"/>
      <c r="F54" s="357">
        <f>IF(B54="","",SUM(C54:E54))</f>
        <v/>
      </c>
      <c r="G54" s="357">
        <f>IF(B54="","",IFERROR(F54-F53,""))</f>
        <v/>
      </c>
      <c r="H54" s="358">
        <f>IF(B54="","",IFERROR(G54/F53,""))</f>
        <v/>
      </c>
      <c r="I54" s="353">
        <f>IF(OR(B54="",F54="",F$6="",B$6=""),"",IF((B54-B$6)=0,"",IFERROR((F54/F$6)^(365/(B54-B$6))-1,"")))</f>
        <v/>
      </c>
    </row>
    <row r="55" ht="21" customHeight="1" s="52">
      <c r="A55" s="53" t="n"/>
      <c r="B55" s="355" t="n"/>
      <c r="C55" s="356" t="n"/>
      <c r="D55" s="356" t="n"/>
      <c r="E55" s="356" t="n"/>
      <c r="F55" s="357">
        <f>IF(B55="","",SUM(C55:E55))</f>
        <v/>
      </c>
      <c r="G55" s="357">
        <f>IF(B55="","",IFERROR(F55-F54,""))</f>
        <v/>
      </c>
      <c r="H55" s="358">
        <f>IF(B55="","",IFERROR(G55/F54,""))</f>
        <v/>
      </c>
      <c r="I55" s="353">
        <f>IF(OR(B55="",F55="",F$6="",B$6=""),"",IF((B55-B$6)=0,"",IFERROR((F55/F$6)^(365/(B55-B$6))-1,"")))</f>
        <v/>
      </c>
    </row>
    <row r="56" ht="21" customHeight="1" s="52">
      <c r="A56" s="53" t="n"/>
      <c r="B56" s="355" t="n"/>
      <c r="C56" s="356" t="n"/>
      <c r="D56" s="356" t="n"/>
      <c r="E56" s="356" t="n"/>
      <c r="F56" s="357">
        <f>IF(B56="","",SUM(C56:E56))</f>
        <v/>
      </c>
      <c r="G56" s="357">
        <f>IF(B56="","",IFERROR(F56-F55,""))</f>
        <v/>
      </c>
      <c r="H56" s="358">
        <f>IF(B56="","",IFERROR(G56/F55,""))</f>
        <v/>
      </c>
      <c r="I56" s="353">
        <f>IF(OR(B56="",F56="",F$6="",B$6=""),"",IF((B56-B$6)=0,"",IFERROR((F56/F$6)^(365/(B56-B$6))-1,"")))</f>
        <v/>
      </c>
    </row>
    <row r="57" ht="21" customHeight="1" s="52">
      <c r="A57" s="53" t="n"/>
      <c r="B57" s="355" t="n"/>
      <c r="C57" s="356" t="n"/>
      <c r="D57" s="356" t="n"/>
      <c r="E57" s="356" t="n"/>
      <c r="F57" s="357">
        <f>IF(B57="","",SUM(C57:E57))</f>
        <v/>
      </c>
      <c r="G57" s="357">
        <f>IF(B57="","",IFERROR(F57-F56,""))</f>
        <v/>
      </c>
      <c r="H57" s="358">
        <f>IF(B57="","",IFERROR(G57/F56,""))</f>
        <v/>
      </c>
      <c r="I57" s="353">
        <f>IF(OR(B57="",F57="",F$6="",B$6=""),"",IF((B57-B$6)=0,"",IFERROR((F57/F$6)^(365/(B57-B$6))-1,"")))</f>
        <v/>
      </c>
    </row>
    <row r="58" ht="21" customHeight="1" s="52">
      <c r="A58" s="53" t="n"/>
      <c r="B58" s="355" t="n"/>
      <c r="C58" s="356" t="n"/>
      <c r="D58" s="356" t="n"/>
      <c r="E58" s="356" t="n"/>
      <c r="F58" s="357">
        <f>IF(B58="","",SUM(C58:E58))</f>
        <v/>
      </c>
      <c r="G58" s="357">
        <f>IF(B58="","",IFERROR(F58-F57,""))</f>
        <v/>
      </c>
      <c r="H58" s="358">
        <f>IF(B58="","",IFERROR(G58/F57,""))</f>
        <v/>
      </c>
      <c r="I58" s="353">
        <f>IF(OR(B58="",F58="",F$6="",B$6=""),"",IF((B58-B$6)=0,"",IFERROR((F58/F$6)^(365/(B58-B$6))-1,"")))</f>
        <v/>
      </c>
    </row>
    <row r="59" ht="21" customHeight="1" s="52">
      <c r="A59" s="53" t="n"/>
      <c r="B59" s="355" t="n"/>
      <c r="C59" s="356" t="n"/>
      <c r="D59" s="356" t="n"/>
      <c r="E59" s="356" t="n"/>
      <c r="F59" s="357">
        <f>IF(B59="","",SUM(C59:E59))</f>
        <v/>
      </c>
      <c r="G59" s="357">
        <f>IF(B59="","",IFERROR(F59-F58,""))</f>
        <v/>
      </c>
      <c r="H59" s="358">
        <f>IF(B59="","",IFERROR(G59/F58,""))</f>
        <v/>
      </c>
      <c r="I59" s="353">
        <f>IF(OR(B59="",F59="",F$6="",B$6=""),"",IF((B59-B$6)=0,"",IFERROR((F59/F$6)^(365/(B59-B$6))-1,"")))</f>
        <v/>
      </c>
    </row>
    <row r="60" ht="21" customHeight="1" s="52">
      <c r="A60" s="53" t="n"/>
      <c r="B60" s="355" t="n"/>
      <c r="C60" s="356" t="n"/>
      <c r="D60" s="356" t="n"/>
      <c r="E60" s="356" t="n"/>
      <c r="F60" s="357">
        <f>IF(B60="","",SUM(C60:E60))</f>
        <v/>
      </c>
      <c r="G60" s="357">
        <f>IF(B60="","",IFERROR(F60-F59,""))</f>
        <v/>
      </c>
      <c r="H60" s="358">
        <f>IF(B60="","",IFERROR(G60/F59,""))</f>
        <v/>
      </c>
      <c r="I60" s="353">
        <f>IF(OR(B60="",F60="",F$6="",B$6=""),"",IF((B60-B$6)=0,"",IFERROR((F60/F$6)^(365/(B60-B$6))-1,"")))</f>
        <v/>
      </c>
    </row>
    <row r="61" ht="21" customHeight="1" s="52">
      <c r="A61" s="53" t="n"/>
      <c r="B61" s="355" t="n"/>
      <c r="C61" s="359" t="n"/>
      <c r="D61" s="359" t="n"/>
      <c r="E61" s="359" t="n"/>
      <c r="F61" s="360">
        <f>IF(B61="","",SUM(C61:E61))</f>
        <v/>
      </c>
      <c r="G61" s="360">
        <f>IF(B61="","",IFERROR(F61-F60,""))</f>
        <v/>
      </c>
      <c r="H61" s="358">
        <f>IF(B61="","",IFERROR(G61/F60,""))</f>
        <v/>
      </c>
      <c r="I61" s="353">
        <f>IF(OR(B61="",F61="",F$6="",B$6=""),"",IF((B61-B$6)=0,"",IFERROR((F61/F$6)^(365/(B61-B$6))-1,"")))</f>
        <v/>
      </c>
    </row>
    <row r="62" ht="21" customHeight="1" s="52">
      <c r="A62" s="53" t="n"/>
      <c r="B62" s="355" t="n"/>
      <c r="C62" s="359" t="n"/>
      <c r="D62" s="359" t="n"/>
      <c r="E62" s="359" t="n"/>
      <c r="F62" s="360">
        <f>IF(B62="","",SUM(C62:E62))</f>
        <v/>
      </c>
      <c r="G62" s="360">
        <f>IF(B62="","",IFERROR(F62-F61,""))</f>
        <v/>
      </c>
      <c r="H62" s="358">
        <f>IF(B62="","",IFERROR(G62/F61,""))</f>
        <v/>
      </c>
      <c r="I62" s="353">
        <f>IF(OR(B62="",F62="",F$6="",B$6=""),"",IF((B62-B$6)=0,"",IFERROR((F62/F$6)^(365/(B62-B$6))-1,"")))</f>
        <v/>
      </c>
    </row>
    <row r="63" ht="21" customHeight="1" s="52">
      <c r="A63" s="53" t="n"/>
      <c r="B63" s="355" t="n"/>
      <c r="C63" s="359" t="n"/>
      <c r="D63" s="359" t="n"/>
      <c r="E63" s="359" t="n"/>
      <c r="F63" s="360">
        <f>IF(B63="","",SUM(C63:E63))</f>
        <v/>
      </c>
      <c r="G63" s="360">
        <f>IF(B63="","",IFERROR(F63-F62,""))</f>
        <v/>
      </c>
      <c r="H63" s="358">
        <f>IF(B63="","",IFERROR(G63/F62,""))</f>
        <v/>
      </c>
      <c r="I63" s="353">
        <f>IF(OR(B63="",F63="",F$6="",B$6=""),"",IF((B63-B$6)=0,"",IFERROR((F63/F$6)^(365/(B63-B$6))-1,"")))</f>
        <v/>
      </c>
    </row>
    <row r="64" ht="21" customHeight="1" s="52">
      <c r="A64" s="53" t="n"/>
      <c r="B64" s="355" t="n"/>
      <c r="C64" s="359" t="n"/>
      <c r="D64" s="359" t="n"/>
      <c r="E64" s="359" t="n"/>
      <c r="F64" s="360">
        <f>IF(B64="","",SUM(C64:E64))</f>
        <v/>
      </c>
      <c r="G64" s="360">
        <f>IF(B64="","",IFERROR(F64-F63,""))</f>
        <v/>
      </c>
      <c r="H64" s="358">
        <f>IF(B64="","",IFERROR(G64/F63,""))</f>
        <v/>
      </c>
      <c r="I64" s="353">
        <f>IF(OR(B64="",F64="",F$6="",B$6=""),"",IF((B64-B$6)=0,"",IFERROR((F64/F$6)^(365/(B64-B$6))-1,"")))</f>
        <v/>
      </c>
    </row>
    <row r="65" ht="21" customHeight="1" s="52">
      <c r="A65" s="53" t="n"/>
      <c r="B65" s="355" t="n"/>
      <c r="C65" s="359" t="n"/>
      <c r="D65" s="359" t="n"/>
      <c r="E65" s="359" t="n"/>
      <c r="F65" s="360">
        <f>IF(B65="","",SUM(C65:E65))</f>
        <v/>
      </c>
      <c r="G65" s="360">
        <f>IF(B65="","",IFERROR(F65-F64,""))</f>
        <v/>
      </c>
      <c r="H65" s="358">
        <f>IF(B65="","",IFERROR(G65/F64,""))</f>
        <v/>
      </c>
      <c r="I65" s="353">
        <f>IF(OR(B65="",F65="",F$6="",B$6=""),"",IF((B65-B$6)=0,"",IFERROR((F65/F$6)^(365/(B65-B$6))-1,"")))</f>
        <v/>
      </c>
    </row>
    <row r="66" ht="21" customHeight="1" s="52">
      <c r="A66" s="53" t="n"/>
      <c r="B66" s="355" t="n"/>
      <c r="C66" s="359" t="n"/>
      <c r="D66" s="359" t="n"/>
      <c r="E66" s="359" t="n"/>
      <c r="F66" s="360">
        <f>IF(B66="","",SUM(C66:E66))</f>
        <v/>
      </c>
      <c r="G66" s="360">
        <f>IF(B66="","",IFERROR(F66-F65,""))</f>
        <v/>
      </c>
      <c r="H66" s="358">
        <f>IF(B66="","",IFERROR(G66/F65,""))</f>
        <v/>
      </c>
      <c r="I66" s="353">
        <f>IF(OR(B66="",F66="",F$6="",B$6=""),"",IF((B66-B$6)=0,"",IFERROR((F66/F$6)^(365/(B66-B$6))-1,"")))</f>
        <v/>
      </c>
    </row>
    <row r="67" ht="21" customHeight="1" s="52">
      <c r="A67" s="53" t="n"/>
      <c r="B67" s="355" t="n"/>
      <c r="C67" s="359" t="n"/>
      <c r="D67" s="359" t="n"/>
      <c r="E67" s="359" t="n"/>
      <c r="F67" s="360">
        <f>IF(B67="","",SUM(C67:E67))</f>
        <v/>
      </c>
      <c r="G67" s="360">
        <f>IF(B67="","",IFERROR(F67-F66,""))</f>
        <v/>
      </c>
      <c r="H67" s="358">
        <f>IF(B67="","",IFERROR(G67/F66,""))</f>
        <v/>
      </c>
      <c r="I67" s="353">
        <f>IF(OR(B67="",F67="",F$6="",B$6=""),"",IF((B67-B$6)=0,"",IFERROR((F67/F$6)^(365/(B67-B$6))-1,"")))</f>
        <v/>
      </c>
    </row>
    <row r="68" ht="21" customHeight="1" s="52">
      <c r="A68" s="53" t="n"/>
      <c r="B68" s="355" t="n"/>
      <c r="C68" s="359" t="n"/>
      <c r="D68" s="359" t="n"/>
      <c r="E68" s="359" t="n"/>
      <c r="F68" s="360">
        <f>IF(B68="","",SUM(C68:E68))</f>
        <v/>
      </c>
      <c r="G68" s="360">
        <f>IF(B68="","",IFERROR(F68-F67,""))</f>
        <v/>
      </c>
      <c r="H68" s="358">
        <f>IF(B68="","",IFERROR(G68/F67,""))</f>
        <v/>
      </c>
      <c r="I68" s="353">
        <f>IF(OR(B68="",F68="",F$6="",B$6=""),"",IF((B68-B$6)=0,"",IFERROR((F68/F$6)^(365/(B68-B$6))-1,"")))</f>
        <v/>
      </c>
    </row>
    <row r="69" ht="21" customHeight="1" s="52">
      <c r="A69" s="53" t="n"/>
      <c r="B69" s="355" t="n"/>
      <c r="C69" s="359" t="n"/>
      <c r="D69" s="359" t="n"/>
      <c r="E69" s="359" t="n"/>
      <c r="F69" s="360">
        <f>IF(B69="","",SUM(C69:E69))</f>
        <v/>
      </c>
      <c r="G69" s="360">
        <f>IF(B69="","",IFERROR(F69-F68,""))</f>
        <v/>
      </c>
      <c r="H69" s="358">
        <f>IF(B69="","",IFERROR(G69/F68,""))</f>
        <v/>
      </c>
      <c r="I69" s="353">
        <f>IF(OR(B69="",F69="",F$6="",B$6=""),"",IF((B69-B$6)=0,"",IFERROR((F69/F$6)^(365/(B69-B$6))-1,"")))</f>
        <v/>
      </c>
    </row>
    <row r="70" ht="21" customHeight="1" s="52">
      <c r="A70" s="53" t="n"/>
      <c r="B70" s="355" t="n"/>
      <c r="C70" s="359" t="n"/>
      <c r="D70" s="359" t="n"/>
      <c r="E70" s="359" t="n"/>
      <c r="F70" s="360">
        <f>IF(B70="","",SUM(C70:E70))</f>
        <v/>
      </c>
      <c r="G70" s="360">
        <f>IF(B70="","",IFERROR(F70-F69,""))</f>
        <v/>
      </c>
      <c r="H70" s="358">
        <f>IF(B70="","",IFERROR(G70/F69,""))</f>
        <v/>
      </c>
      <c r="I70" s="353">
        <f>IF(OR(B70="",F70="",F$6="",B$6=""),"",IF((B70-B$6)=0,"",IFERROR((F70/F$6)^(365/(B70-B$6))-1,"")))</f>
        <v/>
      </c>
    </row>
    <row r="71" ht="21" customHeight="1" s="52">
      <c r="A71" s="53" t="n"/>
      <c r="B71" s="355" t="n"/>
      <c r="C71" s="359" t="n"/>
      <c r="D71" s="359" t="n"/>
      <c r="E71" s="359" t="n"/>
      <c r="F71" s="360">
        <f>IF(B71="","",SUM(C71:E71))</f>
        <v/>
      </c>
      <c r="G71" s="360">
        <f>IF(B71="","",IFERROR(F71-F70,""))</f>
        <v/>
      </c>
      <c r="H71" s="358">
        <f>IF(B71="","",IFERROR(G71/F70,""))</f>
        <v/>
      </c>
      <c r="I71" s="353">
        <f>IF(OR(B71="",F71="",F$6="",B$6=""),"",IF((B71-B$6)=0,"",IFERROR((F71/F$6)^(365/(B71-B$6))-1,"")))</f>
        <v/>
      </c>
    </row>
    <row r="72" ht="21" customHeight="1" s="52">
      <c r="A72" s="53" t="n"/>
      <c r="B72" s="355" t="n"/>
      <c r="C72" s="359" t="n"/>
      <c r="D72" s="359" t="n"/>
      <c r="E72" s="359" t="n"/>
      <c r="F72" s="360">
        <f>IF(B72="","",SUM(C72:E72))</f>
        <v/>
      </c>
      <c r="G72" s="360">
        <f>IF(B72="","",IFERROR(F72-F71,""))</f>
        <v/>
      </c>
      <c r="H72" s="358">
        <f>IF(B72="","",IFERROR(G72/F71,""))</f>
        <v/>
      </c>
      <c r="I72" s="353">
        <f>IF(OR(B72="",F72="",F$6="",B$6=""),"",IF((B72-B$6)=0,"",IFERROR((F72/F$6)^(365/(B72-B$6))-1,"")))</f>
        <v/>
      </c>
    </row>
    <row r="73" ht="21" customHeight="1" s="52">
      <c r="A73" s="53" t="n"/>
      <c r="B73" s="355" t="n"/>
      <c r="C73" s="359" t="n"/>
      <c r="D73" s="359" t="n"/>
      <c r="E73" s="359" t="n"/>
      <c r="F73" s="360">
        <f>IF(B73="","",SUM(C73:E73))</f>
        <v/>
      </c>
      <c r="G73" s="360">
        <f>IF(B73="","",IFERROR(F73-F72,""))</f>
        <v/>
      </c>
      <c r="H73" s="358">
        <f>IF(B73="","",IFERROR(G73/F72,""))</f>
        <v/>
      </c>
      <c r="I73" s="353">
        <f>IF(OR(B73="",F73="",F$6="",B$6=""),"",IF((B73-B$6)=0,"",IFERROR((F73/F$6)^(365/(B73-B$6))-1,"")))</f>
        <v/>
      </c>
    </row>
    <row r="74" ht="21" customHeight="1" s="52">
      <c r="A74" s="53" t="n"/>
      <c r="B74" s="355" t="n"/>
      <c r="C74" s="359" t="n"/>
      <c r="D74" s="359" t="n"/>
      <c r="E74" s="359" t="n"/>
      <c r="F74" s="360">
        <f>IF(B74="","",SUM(C74:E74))</f>
        <v/>
      </c>
      <c r="G74" s="360">
        <f>IF(B74="","",IFERROR(F74-F73,""))</f>
        <v/>
      </c>
      <c r="H74" s="358">
        <f>IF(B74="","",IFERROR(G74/F73,""))</f>
        <v/>
      </c>
      <c r="I74" s="353">
        <f>IF(OR(B74="",F74="",F$6="",B$6=""),"",IF((B74-B$6)=0,"",IFERROR((F74/F$6)^(365/(B74-B$6))-1,"")))</f>
        <v/>
      </c>
    </row>
    <row r="75" ht="21" customHeight="1" s="52">
      <c r="A75" s="53" t="n"/>
      <c r="B75" s="355" t="n"/>
      <c r="C75" s="359" t="n"/>
      <c r="D75" s="359" t="n"/>
      <c r="E75" s="359" t="n"/>
      <c r="F75" s="360">
        <f>IF(B75="","",SUM(C75:E75))</f>
        <v/>
      </c>
      <c r="G75" s="360">
        <f>IF(B75="","",IFERROR(F75-F74,""))</f>
        <v/>
      </c>
      <c r="H75" s="358">
        <f>IF(B75="","",IFERROR(G75/F74,""))</f>
        <v/>
      </c>
      <c r="I75" s="353">
        <f>IF(OR(B75="",F75="",F$6="",B$6=""),"",IF((B75-B$6)=0,"",IFERROR((F75/F$6)^(365/(B75-B$6))-1,"")))</f>
        <v/>
      </c>
    </row>
    <row r="76" ht="21" customHeight="1" s="52">
      <c r="A76" s="53" t="n"/>
      <c r="B76" s="355" t="n"/>
      <c r="C76" s="359" t="n"/>
      <c r="D76" s="359" t="n"/>
      <c r="E76" s="359" t="n"/>
      <c r="F76" s="360">
        <f>IF(B76="","",SUM(C76:E76))</f>
        <v/>
      </c>
      <c r="G76" s="360">
        <f>IF(B76="","",IFERROR(F76-F75,""))</f>
        <v/>
      </c>
      <c r="H76" s="358">
        <f>IF(B76="","",IFERROR(G76/F75,""))</f>
        <v/>
      </c>
      <c r="I76" s="353">
        <f>IF(OR(B76="",F76="",F$6="",B$6=""),"",IF((B76-B$6)=0,"",IFERROR((F76/F$6)^(365/(B76-B$6))-1,"")))</f>
        <v/>
      </c>
    </row>
    <row r="77" ht="21" customHeight="1" s="52">
      <c r="A77" s="53" t="n"/>
      <c r="B77" s="355" t="n"/>
      <c r="C77" s="359" t="n"/>
      <c r="D77" s="359" t="n"/>
      <c r="E77" s="359" t="n"/>
      <c r="F77" s="360">
        <f>IF(B77="","",SUM(C77:E77))</f>
        <v/>
      </c>
      <c r="G77" s="360">
        <f>IF(B77="","",IFERROR(F77-F76,""))</f>
        <v/>
      </c>
      <c r="H77" s="358">
        <f>IF(B77="","",IFERROR(G77/F76,""))</f>
        <v/>
      </c>
      <c r="I77" s="353">
        <f>IF(OR(B77="",F77="",F$6="",B$6=""),"",IF((B77-B$6)=0,"",IFERROR((F77/F$6)^(365/(B77-B$6))-1,"")))</f>
        <v/>
      </c>
    </row>
    <row r="78" ht="21" customHeight="1" s="52">
      <c r="A78" s="53" t="n"/>
      <c r="B78" s="355" t="n"/>
      <c r="C78" s="359" t="n"/>
      <c r="D78" s="359" t="n"/>
      <c r="E78" s="359" t="n"/>
      <c r="F78" s="360">
        <f>IF(B78="","",SUM(C78:E78))</f>
        <v/>
      </c>
      <c r="G78" s="360">
        <f>IF(B78="","",IFERROR(F78-F77,""))</f>
        <v/>
      </c>
      <c r="H78" s="358">
        <f>IF(B78="","",IFERROR(G78/F77,""))</f>
        <v/>
      </c>
      <c r="I78" s="353">
        <f>IF(OR(B78="",F78="",F$6="",B$6=""),"",IF((B78-B$6)=0,"",IFERROR((F78/F$6)^(365/(B78-B$6))-1,"")))</f>
        <v/>
      </c>
    </row>
    <row r="79" ht="21" customHeight="1" s="52">
      <c r="A79" s="53" t="n"/>
      <c r="B79" s="355" t="n"/>
      <c r="C79" s="359" t="n"/>
      <c r="D79" s="359" t="n"/>
      <c r="E79" s="359" t="n"/>
      <c r="F79" s="360">
        <f>IF(B79="","",SUM(C79:E79))</f>
        <v/>
      </c>
      <c r="G79" s="360">
        <f>IF(B79="","",IFERROR(F79-F78,""))</f>
        <v/>
      </c>
      <c r="H79" s="358">
        <f>IF(B79="","",IFERROR(G79/F78,""))</f>
        <v/>
      </c>
      <c r="I79" s="353">
        <f>IF(OR(B79="",F79="",F$6="",B$6=""),"",IF((B79-B$6)=0,"",IFERROR((F79/F$6)^(365/(B79-B$6))-1,"")))</f>
        <v/>
      </c>
    </row>
    <row r="80" ht="21" customHeight="1" s="52">
      <c r="A80" s="53" t="n"/>
      <c r="B80" s="355" t="n"/>
      <c r="C80" s="359" t="n"/>
      <c r="D80" s="359" t="n"/>
      <c r="E80" s="359" t="n"/>
      <c r="F80" s="360">
        <f>IF(B80="","",SUM(C80:E80))</f>
        <v/>
      </c>
      <c r="G80" s="360">
        <f>IF(B80="","",IFERROR(F80-F79,""))</f>
        <v/>
      </c>
      <c r="H80" s="358">
        <f>IF(B80="","",IFERROR(G80/F79,""))</f>
        <v/>
      </c>
      <c r="I80" s="353">
        <f>IF(OR(B80="",F80="",F$6="",B$6=""),"",IF((B80-B$6)=0,"",IFERROR((F80/F$6)^(365/(B80-B$6))-1,"")))</f>
        <v/>
      </c>
    </row>
    <row r="81" ht="21" customHeight="1" s="52">
      <c r="A81" s="53" t="n"/>
      <c r="B81" s="355" t="n"/>
      <c r="C81" s="359" t="n"/>
      <c r="D81" s="359" t="n"/>
      <c r="E81" s="359" t="n"/>
      <c r="F81" s="360">
        <f>IF(B81="","",SUM(C81:E81))</f>
        <v/>
      </c>
      <c r="G81" s="360">
        <f>IF(B81="","",IFERROR(F81-F80,""))</f>
        <v/>
      </c>
      <c r="H81" s="358">
        <f>IF(B81="","",IFERROR(G81/F80,""))</f>
        <v/>
      </c>
    </row>
    <row r="82" ht="21" customHeight="1" s="52">
      <c r="A82" s="53" t="n"/>
      <c r="B82" s="361" t="inlineStr">
        <is>
          <t>📊 HISTORY INSIGHTS</t>
        </is>
      </c>
      <c r="C82" s="359" t="n"/>
      <c r="D82" s="359" t="n"/>
      <c r="E82" s="359" t="n"/>
      <c r="F82" s="360">
        <f>IF(B82="","",SUM(C82:E82))</f>
        <v/>
      </c>
      <c r="G82" s="360">
        <f>IF(B82="","",IFERROR(F82-F81,""))</f>
        <v/>
      </c>
      <c r="H82" s="358">
        <f>IF(B82="","",IFERROR(G82/F81,""))</f>
        <v/>
      </c>
    </row>
    <row r="83" ht="21" customHeight="1" s="52">
      <c r="A83" s="53" t="n"/>
      <c r="B83" s="362" t="inlineStr">
        <is>
          <t>Avg Monthly Change</t>
        </is>
      </c>
      <c r="C83" s="363">
        <f>IFERROR(AVERAGE(G7:G80),0)</f>
        <v/>
      </c>
      <c r="D83" s="359" t="n"/>
      <c r="E83" s="359" t="n"/>
      <c r="F83" s="360">
        <f>IF(B83="","",SUM(C83:E83))</f>
        <v/>
      </c>
      <c r="G83" s="360">
        <f>IF(B83="","",IFERROR(F83-F82,""))</f>
        <v/>
      </c>
      <c r="H83" s="358">
        <f>IF(B83="","",IFERROR(G83/F82,""))</f>
        <v/>
      </c>
    </row>
    <row r="84" ht="21" customHeight="1" s="52">
      <c r="A84" s="53" t="n"/>
      <c r="B84" s="362" t="inlineStr">
        <is>
          <t>Total Growth</t>
        </is>
      </c>
      <c r="C84" s="363">
        <f>IFERROR(LOOKUP(2,1/(F6:F80&lt;&gt;""),F6:F80)-F6,0)</f>
        <v/>
      </c>
      <c r="D84" s="359" t="n"/>
      <c r="E84" s="359" t="n"/>
      <c r="F84" s="360">
        <f>IF(B84="","",SUM(C84:E84))</f>
        <v/>
      </c>
      <c r="G84" s="360">
        <f>IF(B84="","",IFERROR(F84-F83,""))</f>
        <v/>
      </c>
      <c r="H84" s="358">
        <f>IF(B84="","",IFERROR(G84/F83,""))</f>
        <v/>
      </c>
    </row>
    <row r="85" ht="21" customHeight="1" s="52">
      <c r="A85" s="53" t="n"/>
      <c r="B85" s="362" t="inlineStr">
        <is>
          <t>Total Growth %</t>
        </is>
      </c>
      <c r="C85" s="353">
        <f>IFERROR(C83/F6,0)</f>
        <v/>
      </c>
      <c r="D85" s="359" t="n"/>
      <c r="E85" s="359" t="n"/>
      <c r="F85" s="360">
        <f>IF(B85="","",SUM(C85:E85))</f>
        <v/>
      </c>
      <c r="G85" s="360">
        <f>IF(B85="","",IFERROR(F85-F84,""))</f>
        <v/>
      </c>
      <c r="H85" s="358">
        <f>IF(B85="","",IFERROR(G85/F84,""))</f>
        <v/>
      </c>
    </row>
    <row r="86" ht="21" customHeight="1" s="52">
      <c r="A86" s="53" t="n"/>
      <c r="B86" s="362" t="inlineStr">
        <is>
          <t>Snapshots Recorded</t>
        </is>
      </c>
      <c r="C86" s="363">
        <f>COUNTA(B6:B80)</f>
        <v/>
      </c>
      <c r="D86" s="359" t="n"/>
      <c r="E86" s="359" t="n"/>
      <c r="F86" s="360">
        <f>IF(B86="","",SUM(C86:E86))</f>
        <v/>
      </c>
      <c r="G86" s="360">
        <f>IF(B86="","",IFERROR(F86-F85,""))</f>
        <v/>
      </c>
      <c r="H86" s="358">
        <f>IF(B86="","",IFERROR(G86/F85,""))</f>
        <v/>
      </c>
    </row>
    <row r="87" ht="21" customHeight="1" s="52">
      <c r="A87" s="53" t="n"/>
      <c r="B87" s="362" t="inlineStr">
        <is>
          <t>Best Month (Highest Growth)</t>
        </is>
      </c>
      <c r="C87" s="363">
        <f>IFERROR(MAX(G7:G80),0)</f>
        <v/>
      </c>
      <c r="D87" s="359" t="n"/>
      <c r="E87" s="359" t="n"/>
      <c r="F87" s="360">
        <f>IF(B87="","",SUM(C87:E87))</f>
        <v/>
      </c>
      <c r="G87" s="360">
        <f>IF(B87="","",IFERROR(F87-F86,""))</f>
        <v/>
      </c>
      <c r="H87" s="358">
        <f>IF(B87="","",IFERROR(G87/F86,""))</f>
        <v/>
      </c>
    </row>
    <row r="88" ht="21" customHeight="1" s="52">
      <c r="A88" s="53" t="n"/>
      <c r="B88" s="362" t="inlineStr">
        <is>
          <t>Worst Month (Lowest Growth)</t>
        </is>
      </c>
      <c r="C88" s="363">
        <f>IFERROR(MIN(G7:G80),0)</f>
        <v/>
      </c>
      <c r="D88" s="359" t="n"/>
      <c r="E88" s="359" t="n"/>
      <c r="F88" s="360">
        <f>IF(B88="","",SUM(C88:E88))</f>
        <v/>
      </c>
      <c r="G88" s="360">
        <f>IF(B88="","",IFERROR(F88-F87,""))</f>
        <v/>
      </c>
      <c r="H88" s="358">
        <f>IF(B88="","",IFERROR(G88/F87,""))</f>
        <v/>
      </c>
    </row>
    <row r="89" ht="21" customHeight="1" s="52">
      <c r="A89" s="53" t="n"/>
      <c r="B89" s="355" t="n"/>
      <c r="C89" s="359" t="n"/>
      <c r="D89" s="359" t="n"/>
      <c r="E89" s="359" t="n"/>
      <c r="F89" s="360">
        <f>IF(B89="","",SUM(C89:E89))</f>
        <v/>
      </c>
      <c r="G89" s="360">
        <f>IF(B89="","",IFERROR(F89-F88,""))</f>
        <v/>
      </c>
      <c r="H89" s="358">
        <f>IF(B89="","",IFERROR(G89/F88,""))</f>
        <v/>
      </c>
    </row>
    <row r="90" ht="21" customHeight="1" s="52">
      <c r="A90" s="53" t="n"/>
      <c r="B90" s="355" t="n"/>
      <c r="C90" s="359" t="n"/>
      <c r="D90" s="359" t="n"/>
      <c r="E90" s="359" t="n"/>
      <c r="F90" s="360">
        <f>IF(B90="","",SUM(C90:E90))</f>
        <v/>
      </c>
      <c r="G90" s="360">
        <f>IF(B90="","",IFERROR(F90-F89,""))</f>
        <v/>
      </c>
      <c r="H90" s="358">
        <f>IF(B90="","",IFERROR(G90/F89,""))</f>
        <v/>
      </c>
    </row>
    <row r="91" ht="21" customHeight="1" s="52">
      <c r="A91" s="53" t="n"/>
      <c r="B91" s="355" t="n"/>
      <c r="C91" s="359" t="n"/>
      <c r="D91" s="359" t="n"/>
      <c r="E91" s="359" t="n"/>
      <c r="F91" s="360">
        <f>IF(B91="","",SUM(C91:E91))</f>
        <v/>
      </c>
      <c r="G91" s="360">
        <f>IF(B91="","",IFERROR(F91-F90,""))</f>
        <v/>
      </c>
      <c r="H91" s="358">
        <f>IF(B91="","",IFERROR(G91/F90,""))</f>
        <v/>
      </c>
    </row>
    <row r="92" ht="21" customHeight="1" s="52">
      <c r="A92" s="53" t="n"/>
      <c r="B92" s="355" t="n"/>
      <c r="C92" s="359" t="n"/>
      <c r="D92" s="359" t="n"/>
      <c r="E92" s="359" t="n"/>
      <c r="F92" s="360">
        <f>IF(B92="","",SUM(C92:E92))</f>
        <v/>
      </c>
      <c r="G92" s="360">
        <f>IF(B92="","",IFERROR(F92-F91,""))</f>
        <v/>
      </c>
      <c r="H92" s="358">
        <f>IF(B92="","",IFERROR(G92/F91,""))</f>
        <v/>
      </c>
    </row>
    <row r="93" ht="21" customHeight="1" s="52">
      <c r="A93" s="53" t="n"/>
      <c r="B93" s="355" t="n"/>
      <c r="C93" s="359" t="n"/>
      <c r="D93" s="359" t="n"/>
      <c r="E93" s="359" t="n"/>
      <c r="F93" s="360">
        <f>IF(B93="","",SUM(C93:E93))</f>
        <v/>
      </c>
      <c r="G93" s="360">
        <f>IF(B93="","",IFERROR(F93-F92,""))</f>
        <v/>
      </c>
      <c r="H93" s="358">
        <f>IF(B93="","",IFERROR(G93/F92,""))</f>
        <v/>
      </c>
    </row>
    <row r="94" ht="21" customHeight="1" s="52">
      <c r="A94" s="53" t="n"/>
      <c r="B94" s="355" t="n"/>
      <c r="C94" s="359" t="n"/>
      <c r="D94" s="359" t="n"/>
      <c r="E94" s="359" t="n"/>
      <c r="F94" s="360">
        <f>IF(B94="","",SUM(C94:E94))</f>
        <v/>
      </c>
      <c r="G94" s="360">
        <f>IF(B94="","",IFERROR(F94-F93,""))</f>
        <v/>
      </c>
      <c r="H94" s="358">
        <f>IF(B94="","",IFERROR(G94/F93,""))</f>
        <v/>
      </c>
    </row>
    <row r="95" ht="21" customHeight="1" s="52">
      <c r="A95" s="53" t="n"/>
      <c r="B95" s="355" t="n"/>
      <c r="C95" s="359" t="n"/>
      <c r="D95" s="359" t="n"/>
      <c r="E95" s="359" t="n"/>
      <c r="F95" s="360">
        <f>IF(B95="","",SUM(C95:E95))</f>
        <v/>
      </c>
      <c r="G95" s="360">
        <f>IF(B95="","",IFERROR(F95-F94,""))</f>
        <v/>
      </c>
      <c r="H95" s="358">
        <f>IF(B95="","",IFERROR(G95/F94,""))</f>
        <v/>
      </c>
    </row>
    <row r="96" ht="21" customHeight="1" s="52">
      <c r="A96" s="53" t="n"/>
      <c r="B96" s="355" t="n"/>
      <c r="C96" s="359" t="n"/>
      <c r="D96" s="359" t="n"/>
      <c r="E96" s="359" t="n"/>
      <c r="F96" s="360">
        <f>IF(B96="","",SUM(C96:E96))</f>
        <v/>
      </c>
      <c r="G96" s="360">
        <f>IF(B96="","",IFERROR(F96-F95,""))</f>
        <v/>
      </c>
      <c r="H96" s="358">
        <f>IF(B96="","",IFERROR(G96/F95,""))</f>
        <v/>
      </c>
    </row>
    <row r="97" ht="21" customHeight="1" s="52">
      <c r="A97" s="53" t="n"/>
      <c r="B97" s="355" t="n"/>
      <c r="C97" s="359" t="n"/>
      <c r="D97" s="359" t="n"/>
      <c r="E97" s="359" t="n"/>
      <c r="F97" s="360">
        <f>IF(B97="","",SUM(C97:E97))</f>
        <v/>
      </c>
      <c r="G97" s="360">
        <f>IF(B97="","",IFERROR(F97-F96,""))</f>
        <v/>
      </c>
      <c r="H97" s="358">
        <f>IF(B97="","",IFERROR(G97/F96,""))</f>
        <v/>
      </c>
    </row>
    <row r="98" ht="21" customHeight="1" s="52">
      <c r="A98" s="53" t="n"/>
      <c r="B98" s="355" t="n"/>
      <c r="C98" s="359" t="n"/>
      <c r="D98" s="359" t="n"/>
      <c r="E98" s="359" t="n"/>
      <c r="F98" s="360">
        <f>IF(B98="","",SUM(C98:E98))</f>
        <v/>
      </c>
      <c r="G98" s="360">
        <f>IF(B98="","",IFERROR(F98-F97,""))</f>
        <v/>
      </c>
      <c r="H98" s="358">
        <f>IF(B98="","",IFERROR(G98/F97,""))</f>
        <v/>
      </c>
    </row>
    <row r="99" ht="21" customHeight="1" s="52">
      <c r="A99" s="53" t="n"/>
      <c r="B99" s="355" t="n"/>
      <c r="C99" s="359" t="n"/>
      <c r="D99" s="359" t="n"/>
      <c r="E99" s="359" t="n"/>
      <c r="F99" s="360">
        <f>IF(B99="","",SUM(C99:E99))</f>
        <v/>
      </c>
      <c r="G99" s="360">
        <f>IF(B99="","",IFERROR(F99-F98,""))</f>
        <v/>
      </c>
      <c r="H99" s="358">
        <f>IF(B99="","",IFERROR(G99/F98,""))</f>
        <v/>
      </c>
    </row>
    <row r="100" ht="21" customHeight="1" s="52">
      <c r="A100" s="53" t="n"/>
      <c r="B100" s="355" t="n"/>
      <c r="C100" s="359" t="n"/>
      <c r="D100" s="359" t="n"/>
      <c r="E100" s="359" t="n"/>
      <c r="F100" s="360">
        <f>IF(B100="","",SUM(C100:E100))</f>
        <v/>
      </c>
      <c r="G100" s="360">
        <f>IF(B100="","",IFERROR(F100-F99,""))</f>
        <v/>
      </c>
      <c r="H100" s="358">
        <f>IF(B100="","",IFERROR(G100/F99,""))</f>
        <v/>
      </c>
    </row>
    <row r="101" ht="21" customHeight="1" s="52">
      <c r="A101" s="53" t="n"/>
      <c r="B101" s="53" t="n"/>
      <c r="C101" s="53" t="n"/>
      <c r="D101" s="53" t="n"/>
      <c r="E101" s="53" t="n"/>
      <c r="F101" s="53" t="n"/>
      <c r="G101" s="53" t="n"/>
      <c r="H101" s="53" t="n"/>
    </row>
    <row r="102" ht="21" customHeight="1" s="52">
      <c r="A102" s="53" t="n"/>
      <c r="B102" s="53" t="n"/>
      <c r="C102" s="53" t="n"/>
      <c r="D102" s="53" t="n"/>
      <c r="E102" s="53" t="n"/>
      <c r="F102" s="53" t="n"/>
      <c r="G102" s="53" t="n"/>
      <c r="H102" s="53" t="n"/>
    </row>
    <row r="103" ht="21" customHeight="1" s="52">
      <c r="A103" s="53" t="n"/>
      <c r="B103" s="53" t="n"/>
      <c r="C103" s="53" t="n"/>
      <c r="D103" s="53" t="n"/>
      <c r="E103" s="53" t="n"/>
      <c r="F103" s="53" t="n"/>
      <c r="G103" s="53" t="n"/>
      <c r="H103" s="53" t="n"/>
    </row>
    <row r="104" ht="21" customHeight="1" s="52">
      <c r="A104" s="53" t="n"/>
      <c r="B104" s="53" t="n"/>
      <c r="C104" s="53" t="n"/>
      <c r="D104" s="53" t="n"/>
      <c r="E104" s="53" t="n"/>
      <c r="F104" s="53" t="n"/>
      <c r="G104" s="53" t="n"/>
      <c r="H104" s="53" t="n"/>
    </row>
    <row r="105" ht="21" customHeight="1" s="52">
      <c r="A105" s="53" t="n"/>
      <c r="B105" s="53" t="n"/>
      <c r="C105" s="53" t="n"/>
      <c r="D105" s="53" t="n"/>
      <c r="E105" s="53" t="n"/>
      <c r="F105" s="53" t="n"/>
      <c r="G105" s="53" t="n"/>
      <c r="H105" s="53" t="n"/>
    </row>
  </sheetData>
  <mergeCells count="2">
    <mergeCell ref="B3:H3"/>
    <mergeCell ref="B1:H2"/>
  </mergeCells>
  <conditionalFormatting sqref="G7:G100">
    <cfRule type="cellIs" priority="1" operator="lessThan" dxfId="2">
      <formula>0</formula>
    </cfRule>
    <cfRule type="cellIs" priority="2" operator="greaterThan" dxfId="3">
      <formula>0</formula>
    </cfRule>
  </conditionalFormatting>
  <conditionalFormatting sqref="H7:H100">
    <cfRule type="cellIs" priority="3" operator="lessThan" dxfId="2">
      <formula>0</formula>
    </cfRule>
    <cfRule type="cellIs" priority="4" operator="greaterThan" dxfId="3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3" customWidth="1" style="52" min="1" max="1"/>
    <col width="18" customWidth="1" style="52" min="2" max="2"/>
    <col width="18" customWidth="1" style="52" min="3" max="3"/>
    <col width="18" customWidth="1" style="52" min="4" max="4"/>
    <col width="18" customWidth="1" style="52" min="5" max="5"/>
    <col width="18" customWidth="1" style="52" min="6" max="6"/>
    <col width="18" customWidth="1" style="52" min="7" max="7"/>
  </cols>
  <sheetData>
    <row r="1" ht="24" customHeight="1" s="52">
      <c r="A1" s="53" t="n"/>
      <c r="B1" s="340" t="inlineStr">
        <is>
          <t>HOW THIS TRACKER WORKS</t>
        </is>
      </c>
      <c r="C1" s="1" t="n"/>
      <c r="D1" s="1" t="n"/>
      <c r="E1" s="1" t="n"/>
      <c r="F1" s="1" t="n"/>
      <c r="G1" s="1" t="n"/>
    </row>
    <row r="2" ht="24" customHeight="1" s="52">
      <c r="A2" s="53" t="n"/>
      <c r="B2" s="1" t="n"/>
      <c r="C2" s="1" t="n"/>
      <c r="D2" s="1" t="n"/>
      <c r="E2" s="1" t="n"/>
      <c r="F2" s="1" t="n"/>
      <c r="G2" s="1" t="n"/>
    </row>
    <row r="3" ht="22" customHeight="1" s="52">
      <c r="A3" s="53" t="n"/>
      <c r="B3" s="364" t="inlineStr">
        <is>
          <t>A lightweight system for tracking your total money and estimated interest growth.</t>
        </is>
      </c>
      <c r="C3" s="1" t="n"/>
      <c r="D3" s="1" t="n"/>
      <c r="E3" s="1" t="n"/>
      <c r="F3" s="1" t="n"/>
      <c r="G3" s="1" t="n"/>
    </row>
    <row r="4" ht="22" customHeight="1" s="52">
      <c r="A4" s="53" t="n"/>
      <c r="B4" s="53" t="n"/>
      <c r="C4" s="53" t="n"/>
      <c r="D4" s="53" t="n"/>
      <c r="E4" s="53" t="n"/>
      <c r="F4" s="53" t="n"/>
      <c r="G4" s="53" t="n"/>
    </row>
    <row r="5" ht="22" customHeight="1" s="52">
      <c r="A5" s="53" t="n"/>
      <c r="B5" s="365" t="inlineStr">
        <is>
          <t>QUICK START</t>
        </is>
      </c>
      <c r="C5" s="1" t="n"/>
      <c r="D5" s="1" t="n"/>
      <c r="E5" s="1" t="n"/>
      <c r="F5" s="1" t="n"/>
      <c r="G5" s="1" t="n"/>
    </row>
    <row r="6" ht="28" customHeight="1" s="52">
      <c r="A6" s="53" t="n"/>
      <c r="B6" s="232" t="inlineStr">
        <is>
          <t>1. Open Accounts and replace the sample accounts with your real bank, e-wallet, and cash balances.</t>
        </is>
      </c>
      <c r="C6" s="1" t="n"/>
      <c r="D6" s="1" t="n"/>
      <c r="E6" s="1" t="n"/>
      <c r="F6" s="1" t="n"/>
      <c r="G6" s="1" t="n"/>
    </row>
    <row r="7" ht="28" customHeight="1" s="52">
      <c r="A7" s="53" t="n"/>
      <c r="B7" s="232" t="inlineStr">
        <is>
          <t>2. Enter the balance currently shown by the institution in Recorded Balance.</t>
        </is>
      </c>
      <c r="C7" s="1" t="n"/>
      <c r="D7" s="1" t="n"/>
      <c r="E7" s="1" t="n"/>
      <c r="F7" s="1" t="n"/>
      <c r="G7" s="1" t="n"/>
    </row>
    <row r="8" ht="28" customHeight="1" s="52">
      <c r="A8" s="53" t="n"/>
      <c r="B8" s="232" t="inlineStr">
        <is>
          <t>3. Enter the account's interest rate as a percentage, such as 3.50%.</t>
        </is>
      </c>
      <c r="C8" s="1" t="n"/>
      <c r="D8" s="1" t="n"/>
      <c r="E8" s="1" t="n"/>
      <c r="F8" s="1" t="n"/>
      <c r="G8" s="1" t="n"/>
    </row>
    <row r="9" ht="28" customHeight="1" s="52">
      <c r="A9" s="53" t="n"/>
      <c r="B9" s="232" t="inlineStr">
        <is>
          <t>4. Choose Annual when the published rate is yearly, or Monthly when the rate applies each month.</t>
        </is>
      </c>
      <c r="C9" s="1" t="n"/>
      <c r="D9" s="1" t="n"/>
      <c r="E9" s="1" t="n"/>
      <c r="F9" s="1" t="n"/>
      <c r="G9" s="1" t="n"/>
    </row>
    <row r="10" ht="28" customHeight="1" s="52">
      <c r="A10" s="53" t="n"/>
      <c r="B10" s="232" t="inlineStr">
        <is>
          <t>5. Set Last Updated to the date the recorded balance was accurate.</t>
        </is>
      </c>
      <c r="C10" s="1" t="n"/>
      <c r="D10" s="1" t="n"/>
      <c r="E10" s="1" t="n"/>
      <c r="F10" s="1" t="n"/>
      <c r="G10" s="1" t="n"/>
    </row>
    <row r="11" ht="28" customHeight="1" s="52">
      <c r="A11" s="53" t="n"/>
      <c r="B11" s="366" t="inlineStr">
        <is>
          <t>6. Set Include in Total to Yes or No for each account.</t>
        </is>
      </c>
      <c r="C11" s="1" t="n"/>
      <c r="D11" s="1" t="n"/>
      <c r="E11" s="1" t="n"/>
      <c r="F11" s="1" t="n"/>
      <c r="G11" s="1" t="n"/>
    </row>
    <row r="12" ht="28" customHeight="1" s="52">
      <c r="A12" s="53" t="n"/>
      <c r="B12" s="366" t="inlineStr">
        <is>
          <t>7. The Dashboard uses Calculated Balance Today. Add snapshots to Balance History when you want to preserve progress.</t>
        </is>
      </c>
      <c r="C12" s="1" t="n"/>
      <c r="D12" s="1" t="n"/>
      <c r="E12" s="1" t="n"/>
      <c r="F12" s="1" t="n"/>
      <c r="G12" s="1" t="n"/>
    </row>
    <row r="13" ht="22" customHeight="1" s="52">
      <c r="A13" s="53" t="n"/>
      <c r="B13" s="203" t="n"/>
      <c r="C13" s="203" t="n"/>
      <c r="D13" s="203" t="n"/>
      <c r="E13" s="203" t="n"/>
      <c r="F13" s="203" t="n"/>
      <c r="G13" s="203" t="n"/>
    </row>
    <row r="14" ht="22" customHeight="1" s="52">
      <c r="A14" s="53" t="n"/>
      <c r="B14" s="367" t="inlineStr">
        <is>
          <t>INTEREST CALCULATION</t>
        </is>
      </c>
      <c r="C14" s="1" t="n"/>
      <c r="D14" s="1" t="n"/>
      <c r="E14" s="1" t="n"/>
      <c r="F14" s="1" t="n"/>
      <c r="G14" s="1" t="n"/>
    </row>
    <row r="15" ht="28" customHeight="1" s="52">
      <c r="A15" s="53" t="n"/>
      <c r="B15" s="232" t="inlineStr">
        <is>
          <t>Annual basis: the entered rate is treated as an effective annual rate and converted to an equivalent monthly estimate.</t>
        </is>
      </c>
      <c r="C15" s="1" t="n"/>
      <c r="D15" s="1" t="n"/>
      <c r="E15" s="1" t="n"/>
      <c r="F15" s="1" t="n"/>
      <c r="G15" s="1" t="n"/>
    </row>
    <row r="16" ht="28" customHeight="1" s="52">
      <c r="A16" s="53" t="n"/>
      <c r="B16" s="232" t="inlineStr">
        <is>
          <t>Monthly basis: the entered rate is treated as an effective monthly rate and compounded for the annual estimate.</t>
        </is>
      </c>
      <c r="C16" s="1" t="n"/>
      <c r="D16" s="1" t="n"/>
      <c r="E16" s="1" t="n"/>
      <c r="F16" s="1" t="n"/>
      <c r="G16" s="1" t="n"/>
    </row>
    <row r="17" ht="28" customHeight="1" s="52">
      <c r="A17" s="53" t="n"/>
      <c r="B17" s="232" t="inlineStr">
        <is>
          <t>Accrued Interest estimates growth from Last Updated through TODAY(), and Calculated Balance Today adds it to the recorded balance.</t>
        </is>
      </c>
      <c r="C17" s="1" t="n"/>
      <c r="D17" s="1" t="n"/>
      <c r="E17" s="1" t="n"/>
      <c r="F17" s="1" t="n"/>
      <c r="G17" s="1" t="n"/>
    </row>
    <row r="18" ht="28" customHeight="1" s="52">
      <c r="A18" s="53" t="n"/>
      <c r="B18" s="366" t="inlineStr">
        <is>
          <t>Enter 0% for accounts that do not earn interest.</t>
        </is>
      </c>
      <c r="C18" s="1" t="n"/>
      <c r="D18" s="1" t="n"/>
      <c r="E18" s="1" t="n"/>
      <c r="F18" s="1" t="n"/>
      <c r="G18" s="1" t="n"/>
    </row>
    <row r="19" ht="28" customHeight="1" s="52">
      <c r="A19" s="53" t="n"/>
      <c r="B19" s="366" t="inlineStr">
        <is>
          <t>Interest is an estimate before taxes, balance tiers, promotional conditions, posting cutoffs, or institution-specific rules.</t>
        </is>
      </c>
      <c r="C19" s="1" t="n"/>
      <c r="D19" s="1" t="n"/>
      <c r="E19" s="1" t="n"/>
      <c r="F19" s="1" t="n"/>
      <c r="G19" s="1" t="n"/>
    </row>
    <row r="20" ht="22" customHeight="1" s="52">
      <c r="A20" s="53" t="n"/>
      <c r="B20" s="203" t="n"/>
      <c r="C20" s="203" t="n"/>
      <c r="D20" s="203" t="n"/>
      <c r="E20" s="203" t="n"/>
      <c r="F20" s="203" t="n"/>
      <c r="G20" s="203" t="n"/>
    </row>
    <row r="21" ht="22" customHeight="1" s="52">
      <c r="A21" s="53" t="n"/>
      <c r="B21" s="367" t="inlineStr">
        <is>
          <t>WHAT IS INCLUDED</t>
        </is>
      </c>
      <c r="C21" s="1" t="n"/>
      <c r="D21" s="1" t="n"/>
      <c r="E21" s="1" t="n"/>
      <c r="F21" s="1" t="n"/>
      <c r="G21" s="1" t="n"/>
    </row>
    <row r="22" ht="28" customHeight="1" s="52">
      <c r="A22" s="53" t="n"/>
      <c r="B22" s="232" t="inlineStr">
        <is>
          <t>Bank accounts: savings, checking, payroll, or digital bank balances.</t>
        </is>
      </c>
      <c r="C22" s="1" t="n"/>
      <c r="D22" s="1" t="n"/>
      <c r="E22" s="1" t="n"/>
      <c r="F22" s="1" t="n"/>
      <c r="G22" s="1" t="n"/>
    </row>
    <row r="23" ht="28" customHeight="1" s="52">
      <c r="A23" s="53" t="n"/>
      <c r="B23" s="232" t="inlineStr">
        <is>
          <t>E-wallets: GCash, Maya, GoTyme wallet, ShopeePay, and similar services.</t>
        </is>
      </c>
      <c r="C23" s="1" t="n"/>
      <c r="D23" s="1" t="n"/>
      <c r="E23" s="1" t="n"/>
      <c r="F23" s="1" t="n"/>
      <c r="G23" s="1" t="n"/>
    </row>
    <row r="24" ht="28" customHeight="1" s="52">
      <c r="A24" s="53" t="n"/>
      <c r="B24" s="366" t="inlineStr">
        <is>
          <t>Cash / Other: physical cash or any liquid balance you want included.</t>
        </is>
      </c>
      <c r="C24" s="1" t="n"/>
      <c r="D24" s="1" t="n"/>
      <c r="E24" s="1" t="n"/>
      <c r="F24" s="1" t="n"/>
      <c r="G24" s="1" t="n"/>
    </row>
    <row r="25" ht="28" customHeight="1" s="52">
      <c r="A25" s="53" t="n"/>
      <c r="B25" s="366" t="inlineStr">
        <is>
          <t>This version does not track income, expenses, budgets, categories, or individual transactions.</t>
        </is>
      </c>
      <c r="C25" s="1" t="n"/>
      <c r="D25" s="1" t="n"/>
      <c r="E25" s="1" t="n"/>
      <c r="F25" s="1" t="n"/>
      <c r="G25" s="1" t="n"/>
    </row>
    <row r="26" ht="22" customHeight="1" s="52">
      <c r="A26" s="53" t="n"/>
      <c r="B26" s="203" t="n"/>
      <c r="C26" s="203" t="n"/>
      <c r="D26" s="203" t="n"/>
      <c r="E26" s="203" t="n"/>
      <c r="F26" s="203" t="n"/>
      <c r="G26" s="203" t="n"/>
    </row>
    <row r="27" ht="22" customHeight="1" s="52">
      <c r="A27" s="53" t="n"/>
      <c r="B27" s="367" t="inlineStr">
        <is>
          <t>INPUT COLOR GUIDE</t>
        </is>
      </c>
      <c r="C27" s="1" t="n"/>
      <c r="D27" s="1" t="n"/>
      <c r="E27" s="1" t="n"/>
      <c r="F27" s="1" t="n"/>
      <c r="G27" s="1" t="n"/>
    </row>
    <row r="28" ht="28" customHeight="1" s="52">
      <c r="A28" s="53" t="n"/>
      <c r="B28" s="232" t="inlineStr">
        <is>
          <t>Yellow cells with blue text are user-editable inputs.</t>
        </is>
      </c>
      <c r="C28" s="1" t="n"/>
      <c r="D28" s="1" t="n"/>
      <c r="E28" s="1" t="n"/>
      <c r="F28" s="1" t="n"/>
      <c r="G28" s="1" t="n"/>
    </row>
    <row r="29" ht="28" customHeight="1" s="52">
      <c r="A29" s="53" t="n"/>
      <c r="B29" s="232" t="inlineStr">
        <is>
          <t>Light green cells are formulas and should not be overwritten.</t>
        </is>
      </c>
      <c r="C29" s="1" t="n"/>
      <c r="D29" s="1" t="n"/>
      <c r="E29" s="1" t="n"/>
      <c r="F29" s="1" t="n"/>
      <c r="G29" s="1" t="n"/>
    </row>
    <row r="30" ht="28" customHeight="1" s="52">
      <c r="A30" s="53" t="n"/>
      <c r="B30" s="366" t="inlineStr">
        <is>
          <t>Rows turn light amber when the Last Updated date is more than 30 days old.</t>
        </is>
      </c>
      <c r="C30" s="1" t="n"/>
      <c r="D30" s="1" t="n"/>
      <c r="E30" s="1" t="n"/>
      <c r="F30" s="1" t="n"/>
      <c r="G30" s="1" t="n"/>
    </row>
    <row r="31" ht="22" customHeight="1" s="52">
      <c r="A31" s="53" t="n"/>
      <c r="B31" s="53" t="n"/>
      <c r="C31" s="53" t="n"/>
      <c r="D31" s="53" t="n"/>
      <c r="E31" s="53" t="n"/>
      <c r="F31" s="53" t="n"/>
      <c r="G31" s="53" t="n"/>
    </row>
    <row r="32" ht="22" customHeight="1" s="52">
      <c r="A32" s="53" t="n"/>
      <c r="B32" s="365" t="inlineStr">
        <is>
          <t>BALANCE HISTORY</t>
        </is>
      </c>
      <c r="C32" s="1" t="n"/>
      <c r="D32" s="1" t="n"/>
      <c r="E32" s="1" t="n"/>
      <c r="F32" s="1" t="n"/>
      <c r="G32" s="1" t="n"/>
    </row>
    <row r="33" ht="28" customHeight="1" s="52">
      <c r="A33" s="53" t="n"/>
      <c r="B33" s="232" t="inlineStr">
        <is>
          <t>The history sheet is manual by design so a past snapshot never changes when current balances or interest estimates update.</t>
        </is>
      </c>
      <c r="C33" s="1" t="n"/>
      <c r="D33" s="1" t="n"/>
      <c r="E33" s="1" t="n"/>
      <c r="F33" s="1" t="n"/>
      <c r="G33" s="1" t="n"/>
    </row>
    <row r="34" ht="28" customHeight="1" s="52">
      <c r="A34" s="53" t="n"/>
      <c r="B34" s="232" t="inlineStr">
        <is>
          <t>Use one row per weekly or monthly checkpoint.</t>
        </is>
      </c>
      <c r="C34" s="1" t="n"/>
      <c r="D34" s="1" t="n"/>
      <c r="E34" s="1" t="n"/>
      <c r="F34" s="1" t="n"/>
      <c r="G34" s="1" t="n"/>
    </row>
    <row r="35" ht="28" customHeight="1" s="52">
      <c r="A35" s="53" t="n"/>
      <c r="B35" s="366" t="inlineStr">
        <is>
          <t>Enter category totals based on the calculated balances shown in Accounts or on the Dashboard.</t>
        </is>
      </c>
      <c r="C35" s="1" t="n"/>
      <c r="D35" s="1" t="n"/>
      <c r="E35" s="1" t="n"/>
      <c r="F35" s="1" t="n"/>
      <c r="G35" s="1" t="n"/>
    </row>
    <row r="36" ht="28" customHeight="1" s="52">
      <c r="A36" s="53" t="n"/>
      <c r="B36" s="366" t="inlineStr">
        <is>
          <t>The Total Money, Change, and Change % columns calculate automatically.</t>
        </is>
      </c>
      <c r="C36" s="1" t="n"/>
      <c r="D36" s="1" t="n"/>
      <c r="E36" s="1" t="n"/>
      <c r="F36" s="1" t="n"/>
      <c r="G36" s="1" t="n"/>
    </row>
    <row r="37" ht="22" customHeight="1" s="52">
      <c r="A37" s="53" t="n"/>
      <c r="B37" s="53" t="n"/>
      <c r="C37" s="53" t="n"/>
      <c r="D37" s="53" t="n"/>
      <c r="E37" s="53" t="n"/>
      <c r="F37" s="53" t="n"/>
      <c r="G37" s="53" t="n"/>
    </row>
    <row r="38" ht="22" customHeight="1" s="52">
      <c r="A38" s="53" t="n"/>
      <c r="B38" s="368" t="inlineStr">
        <is>
          <t>STARTING FRESH</t>
        </is>
      </c>
      <c r="C38" s="1" t="n"/>
      <c r="D38" s="1" t="n"/>
      <c r="E38" s="1" t="n"/>
      <c r="F38" s="1" t="n"/>
      <c r="G38" s="1" t="n"/>
    </row>
    <row r="39" ht="28" customHeight="1" s="52">
      <c r="A39" s="53" t="n"/>
      <c r="B39" s="366" t="inlineStr">
        <is>
          <t>The workbook includes sample accounts and history so the dashboard is populated.</t>
        </is>
      </c>
      <c r="C39" s="1" t="n"/>
      <c r="D39" s="1" t="n"/>
      <c r="E39" s="1" t="n"/>
      <c r="F39" s="1" t="n"/>
      <c r="G39" s="1" t="n"/>
    </row>
    <row r="40" ht="28" customHeight="1" s="52">
      <c r="A40" s="53" t="n"/>
      <c r="B40" s="366" t="inlineStr">
        <is>
          <t>Replace the sample account rows, enter your actual rates, and clear the sample history rows before using it for your real finances.</t>
        </is>
      </c>
      <c r="C40" s="1" t="n"/>
      <c r="D40" s="1" t="n"/>
      <c r="E40" s="1" t="n"/>
      <c r="F40" s="1" t="n"/>
      <c r="G40" s="1" t="n"/>
    </row>
    <row r="41" ht="28" customHeight="1" s="52">
      <c r="A41" s="53" t="n"/>
      <c r="B41" s="366" t="inlineStr">
        <is>
          <t>Whenever you refresh an account with its actual posted balance, update both Recorded Balance and Last Updated to restart the estimate.</t>
        </is>
      </c>
      <c r="C41" s="1" t="n"/>
      <c r="D41" s="1" t="n"/>
      <c r="E41" s="1" t="n"/>
      <c r="F41" s="1" t="n"/>
      <c r="G41" s="1" t="n"/>
    </row>
    <row r="42" ht="22" customHeight="1" s="52">
      <c r="A42" s="53" t="n"/>
      <c r="B42" s="53" t="n"/>
      <c r="C42" s="53" t="n"/>
      <c r="D42" s="53" t="n"/>
      <c r="E42" s="53" t="n"/>
      <c r="F42" s="53" t="n"/>
      <c r="G42" s="53" t="n"/>
    </row>
    <row r="43">
      <c r="B43" t="inlineStr"/>
    </row>
    <row r="44">
      <c r="B44" s="369" t="inlineStr">
        <is>
          <t>NEW FEATURES</t>
        </is>
      </c>
    </row>
    <row r="45">
      <c r="B45" t="inlineStr">
        <is>
          <t>Status Column: each account row shows ✅ Current or ⚠️ Stale based on whether Last Updated is more than 30 days ago.</t>
        </is>
      </c>
    </row>
    <row r="46">
      <c r="B46" t="inlineStr">
        <is>
          <t>Enhanced Summary: includes Active Accounts count, Top Earning Account, Average Interest Rate, and Stale Accounts count.</t>
        </is>
      </c>
    </row>
    <row r="47">
      <c r="B47" t="inlineStr">
        <is>
          <t>Annualized Growth: the Balance History sheet now includes an annualized growth percentage column for trend analysis.</t>
        </is>
      </c>
    </row>
    <row r="48">
      <c r="B48" t="inlineStr">
        <is>
          <t>History Insights: summary metrics at the bottom of Balance History including average change, total growth, best/worst months.</t>
        </is>
      </c>
    </row>
  </sheetData>
  <mergeCells count="34">
    <mergeCell ref="B14:G14"/>
    <mergeCell ref="B17:G17"/>
    <mergeCell ref="B23:G23"/>
    <mergeCell ref="B8:G8"/>
    <mergeCell ref="B29:G29"/>
    <mergeCell ref="B38:G38"/>
    <mergeCell ref="B19:G19"/>
    <mergeCell ref="B34:G34"/>
    <mergeCell ref="B10:G10"/>
    <mergeCell ref="B28:G28"/>
    <mergeCell ref="B9:G9"/>
    <mergeCell ref="B40:G40"/>
    <mergeCell ref="B30:G30"/>
    <mergeCell ref="B15:G15"/>
    <mergeCell ref="B33:G33"/>
    <mergeCell ref="B6:G6"/>
    <mergeCell ref="B24:G24"/>
    <mergeCell ref="B5:G5"/>
    <mergeCell ref="B36:G36"/>
    <mergeCell ref="B41:G41"/>
    <mergeCell ref="B32:G32"/>
    <mergeCell ref="B35:G35"/>
    <mergeCell ref="B7:G7"/>
    <mergeCell ref="B25:G25"/>
    <mergeCell ref="B3:G3"/>
    <mergeCell ref="B16:G16"/>
    <mergeCell ref="B1:G2"/>
    <mergeCell ref="B22:G22"/>
    <mergeCell ref="B27:G27"/>
    <mergeCell ref="B12:G12"/>
    <mergeCell ref="B18:G18"/>
    <mergeCell ref="B21:G21"/>
    <mergeCell ref="B39:G39"/>
    <mergeCell ref="B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2026-07-20T05:22:57Z</dcterms:created>
  <dcterms:modified xsi:type="dcterms:W3CDTF">2026-07-20T05:22:57Z</dcterms:modified>
</cp:coreProperties>
</file>